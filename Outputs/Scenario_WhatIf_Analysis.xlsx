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_Efficiency" sheetId="1" state="visible" r:id="rId3"/>
    <sheet name="Scenario_Model" sheetId="2" state="visible" r:id="rId4"/>
    <sheet name="Scenario_Manager_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These three ratios (leads per $1,000 spent, conversion rate, revenue per conversion) are assumed constant across all scenarios. Every scenario below only changes BUDGET ALLOCATION per channel — the projected leads/conversions/revenue are recalculated using these ratios.</t>
        </r>
      </text>
    </comment>
  </commentList>
</comments>
</file>

<file path=xl/sharedStrings.xml><?xml version="1.0" encoding="utf-8"?>
<sst xmlns="http://schemas.openxmlformats.org/spreadsheetml/2006/main" count="112" uniqueCount="61">
  <si>
    <t xml:space="preserve">Channel Efficiency — Baseline Data &amp; Response Rates</t>
  </si>
  <si>
    <t xml:space="preserve">Blue cells are inputs (edit with real numbers). Ratios drive all scenario projections below — keep them constant unless channel efficiency itself is expected to change.</t>
  </si>
  <si>
    <t xml:space="preserve">Channel</t>
  </si>
  <si>
    <t xml:space="preserve">Baseline Budget</t>
  </si>
  <si>
    <t xml:space="preserve">Baseline Leads</t>
  </si>
  <si>
    <t xml:space="preserve">Baseline Conversions</t>
  </si>
  <si>
    <t xml:space="preserve">Baseline Revenue</t>
  </si>
  <si>
    <t xml:space="preserve">Leads per $1,000</t>
  </si>
  <si>
    <t xml:space="preserve">Conversion Rate</t>
  </si>
  <si>
    <t xml:space="preserve">Revenue per Conversion</t>
  </si>
  <si>
    <t xml:space="preserve">Paid Search</t>
  </si>
  <si>
    <t xml:space="preserve">Social Media</t>
  </si>
  <si>
    <t xml:space="preserve">Email</t>
  </si>
  <si>
    <t xml:space="preserve">Content/SEO</t>
  </si>
  <si>
    <t xml:space="preserve">Partnerships</t>
  </si>
  <si>
    <t xml:space="preserve">Events</t>
  </si>
  <si>
    <t xml:space="preserve">GTM Scenario &amp; What-If Analysis</t>
  </si>
  <si>
    <t xml:space="preserve">Each scenario reallocates the channel budgets from Channel_Efficiency; leads/conversions/revenue are projected using that sheet's response rates.</t>
  </si>
  <si>
    <t xml:space="preserve">Scenario Assumptions</t>
  </si>
  <si>
    <t xml:space="preserve">Social Media spend increase (Scenario 1)</t>
  </si>
  <si>
    <t xml:space="preserve">Additional events (Scenario 2)</t>
  </si>
  <si>
    <t xml:space="preserve">Average cost per event ($)</t>
  </si>
  <si>
    <t xml:space="preserve">Baseline</t>
  </si>
  <si>
    <t xml:space="preserve">Budget</t>
  </si>
  <si>
    <t xml:space="preserve">Projected Leads</t>
  </si>
  <si>
    <t xml:space="preserve">Projected Conversions</t>
  </si>
  <si>
    <t xml:space="preserve">Projected Revenue</t>
  </si>
  <si>
    <t xml:space="preserve">CAC</t>
  </si>
  <si>
    <t xml:space="preserve">ROI %</t>
  </si>
  <si>
    <t xml:space="preserve">TOTAL</t>
  </si>
  <si>
    <t xml:space="preserve">Scenario 1</t>
  </si>
  <si>
    <t xml:space="preserve">Heavy Social Media Spend (+20%)</t>
  </si>
  <si>
    <t xml:space="preserve">Scenario 2</t>
  </si>
  <si>
    <t xml:space="preserve">Event-Driven Strategy (+3 events)</t>
  </si>
  <si>
    <t xml:space="preserve">Scenario 3</t>
  </si>
  <si>
    <t xml:space="preserve">Balanced Mix (equal split across channels)</t>
  </si>
  <si>
    <t xml:space="preserve">Scenario Comparison Summary</t>
  </si>
  <si>
    <t xml:space="preserve">Scenario</t>
  </si>
  <si>
    <t xml:space="preserve">Total Budget</t>
  </si>
  <si>
    <t xml:space="preserve">Total Leads</t>
  </si>
  <si>
    <t xml:space="preserve">Total Conversions</t>
  </si>
  <si>
    <t xml:space="preserve">Blended CAC</t>
  </si>
  <si>
    <t xml:space="preserve">Scenario 1: Social Media +20%</t>
  </si>
  <si>
    <t xml:space="preserve">Scenario 2: +3 Events</t>
  </si>
  <si>
    <t xml:space="preserve">Scenario 3: Balanced Mix</t>
  </si>
  <si>
    <t xml:space="preserve">Optional: Set Up Native Excel Scenario Manager</t>
  </si>
  <si>
    <t xml:space="preserve">This workbook already computes and compares all 3 scenarios side-by-side on the Scenario_Model tab. If you'd also like Excel's built-in toggle (Data &gt; What-If Analysis &gt; Scenario Manager) — which lets you flip between scenarios one at a time on a single live model — follow these steps.</t>
  </si>
  <si>
    <t xml:space="preserve">1. Pick your changing cells</t>
  </si>
  <si>
    <t xml:space="preserve">On Channel_Efficiency, the changing cells are the Baseline Budget inputs (B5:B10). These are what each scenario overrides.</t>
  </si>
  <si>
    <t xml:space="preserve">2. Open Scenario Manager</t>
  </si>
  <si>
    <t xml:space="preserve">Select the range B5:B10, then go to Data tab &gt; What-If Analysis &gt; Scenario Manager &gt; Add.</t>
  </si>
  <si>
    <t xml:space="preserve">3. Create 'Heavy Social Media' scenario</t>
  </si>
  <si>
    <t xml:space="preserve">Name it, keep the same changing cells, and enter budget values with Social Media increased 20% (e.g. 12,000 instead of 10,000) and all other channels unchanged.</t>
  </si>
  <si>
    <t xml:space="preserve">4. Create 'Event-Driven' scenario</t>
  </si>
  <si>
    <t xml:space="preserve">Same changing cells; increase only the Events budget by 3 x cost-per-event (e.g. 9,000 + 9,000 = 18,000), leave others unchanged.</t>
  </si>
  <si>
    <t xml:space="preserve">5. Create 'Balanced Mix' scenario</t>
  </si>
  <si>
    <t xml:space="preserve">Same changing cells; set every channel's budget to Total Budget / 6 (equal split).</t>
  </si>
  <si>
    <t xml:space="preserve">6. View results</t>
  </si>
  <si>
    <t xml:space="preserve">In Scenario Manager, click 'Show' on any scenario to instantly overwrite the budget cells and watch Leads, CAC, and ROI% recalculate live on Scenario_Model.</t>
  </si>
  <si>
    <t xml:space="preserve">7. Generate a summary report (optional)</t>
  </si>
  <si>
    <t xml:space="preserve">Click 'Summary' in Scenario Manager, set the result cells to the Total row's Leads, CAC, and ROI% cells on Scenario_Model, and Excel will build its own native scenario summary sheet.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</si>
</sst>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0.0"/>
    <numFmt numFmtId="168" formatCode="0.0%"/>
    <numFmt numFmtId="169" formatCode="0%"/>
    <numFmt numFmtId="170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rgb="FF1F2937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E78"/>
      <name val="Arial"/>
      <family val="0"/>
      <charset val="1"/>
    </font>
    <font>
      <sz val="10"/>
      <color rgb="FF37415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374151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9F9F9"/>
      </patternFill>
    </fill>
    <fill>
      <patternFill patternType="solid">
        <fgColor rgb="FFD9D9D9"/>
        <bgColor rgb="FFD1D5DB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74151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ROI %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Scenario_Model!F54</c:f>
              <c:strCache>
                <c:ptCount val="1"/>
                <c:pt idx="0">
                  <c:v>ROI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Scenario_Model!$A$55:$A$58</c:f>
              <c:strCache>
                <c:ptCount val="4"/>
                <c:pt idx="0">
                  <c:v>Baseline</c:v>
                </c:pt>
                <c:pt idx="1">
                  <c:v>Scenario 1: Social Media +20%</c:v>
                </c:pt>
                <c:pt idx="2">
                  <c:v>Scenario 2: +3 Events</c:v>
                </c:pt>
                <c:pt idx="3">
                  <c:v>Scenario 3: Balanced Mix</c:v>
                </c:pt>
              </c:strCache>
            </c:strRef>
          </c:cat>
          <c:val>
            <c:numRef>
              <c:f>Scenario_Model!$F$55:$F$58</c:f>
              <c:numCache>
                <c:formatCode>0.0%</c:formatCode>
                <c:ptCount val="4"/>
                <c:pt idx="0">
                  <c:v>3.75</c:v>
                </c:pt>
                <c:pt idx="1">
                  <c:v>3.7</c:v>
                </c:pt>
                <c:pt idx="2">
                  <c:v>3.43846153846154</c:v>
                </c:pt>
                <c:pt idx="3">
                  <c:v>4.64861111111111</c:v>
                </c:pt>
              </c:numCache>
            </c:numRef>
          </c:val>
        </c:ser>
        <c:gapWidth val="150"/>
        <c:overlap val="0"/>
        <c:axId val="79625206"/>
        <c:axId val="58454283"/>
      </c:barChart>
      <c:catAx>
        <c:axId val="79625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54283"/>
        <c:crosses val="autoZero"/>
        <c:auto val="1"/>
        <c:lblAlgn val="ctr"/>
        <c:lblOffset val="100"/>
        <c:noMultiLvlLbl val="0"/>
      </c:catAx>
      <c:valAx>
        <c:axId val="58454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ROI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25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Blended CAC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Scenario_Model!E54</c:f>
              <c:strCache>
                <c:ptCount val="1"/>
                <c:pt idx="0">
                  <c:v>Blended CAC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Scenario_Model!$A$55:$A$58</c:f>
              <c:strCache>
                <c:ptCount val="4"/>
                <c:pt idx="0">
                  <c:v>Baseline</c:v>
                </c:pt>
                <c:pt idx="1">
                  <c:v>Scenario 1: Social Media +20%</c:v>
                </c:pt>
                <c:pt idx="2">
                  <c:v>Scenario 2: +3 Events</c:v>
                </c:pt>
                <c:pt idx="3">
                  <c:v>Scenario 3: Balanced Mix</c:v>
                </c:pt>
              </c:strCache>
            </c:strRef>
          </c:cat>
          <c:val>
            <c:numRef>
              <c:f>Scenario_Model!$E$55:$E$58</c:f>
              <c:numCache>
                <c:formatCode>\$#,##0</c:formatCode>
                <c:ptCount val="4"/>
                <c:pt idx="0">
                  <c:v>162.31884057971</c:v>
                </c:pt>
                <c:pt idx="1">
                  <c:v>162.464985994398</c:v>
                </c:pt>
                <c:pt idx="2">
                  <c:v>175.675675675676</c:v>
                </c:pt>
                <c:pt idx="3">
                  <c:v>136.795440151995</c:v>
                </c:pt>
              </c:numCache>
            </c:numRef>
          </c:val>
        </c:ser>
        <c:gapWidth val="150"/>
        <c:overlap val="0"/>
        <c:axId val="79389862"/>
        <c:axId val="33247766"/>
      </c:barChart>
      <c:catAx>
        <c:axId val="79389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47766"/>
        <c:crosses val="autoZero"/>
        <c:auto val="1"/>
        <c:lblAlgn val="ctr"/>
        <c:lblOffset val="100"/>
        <c:noMultiLvlLbl val="0"/>
      </c:catAx>
      <c:valAx>
        <c:axId val="33247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CAC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89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Leads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Scenario_Model!C54</c:f>
              <c:strCache>
                <c:ptCount val="1"/>
                <c:pt idx="0">
                  <c:v>Total Leads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Scenario_Model!$A$55:$A$58</c:f>
              <c:strCache>
                <c:ptCount val="4"/>
                <c:pt idx="0">
                  <c:v>Baseline</c:v>
                </c:pt>
                <c:pt idx="1">
                  <c:v>Scenario 1: Social Media +20%</c:v>
                </c:pt>
                <c:pt idx="2">
                  <c:v>Scenario 2: +3 Events</c:v>
                </c:pt>
                <c:pt idx="3">
                  <c:v>Scenario 3: Balanced Mix</c:v>
                </c:pt>
              </c:strCache>
            </c:strRef>
          </c:cat>
          <c:val>
            <c:numRef>
              <c:f>Scenario_Model!$C$55:$C$58</c:f>
              <c:numCache>
                <c:formatCode>#,##0</c:formatCode>
                <c:ptCount val="4"/>
                <c:pt idx="0">
                  <c:v>2050</c:v>
                </c:pt>
                <c:pt idx="1">
                  <c:v>2158</c:v>
                </c:pt>
                <c:pt idx="2">
                  <c:v>2200</c:v>
                </c:pt>
                <c:pt idx="3">
                  <c:v>2289.77777777778</c:v>
                </c:pt>
              </c:numCache>
            </c:numRef>
          </c:val>
        </c:ser>
        <c:gapWidth val="150"/>
        <c:overlap val="0"/>
        <c:axId val="83590166"/>
        <c:axId val="72793340"/>
      </c:barChart>
      <c:catAx>
        <c:axId val="83590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93340"/>
        <c:crosses val="autoZero"/>
        <c:auto val="1"/>
        <c:lblAlgn val="ctr"/>
        <c:lblOffset val="100"/>
        <c:noMultiLvlLbl val="0"/>
      </c:catAx>
      <c:valAx>
        <c:axId val="72793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901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59</xdr:row>
      <xdr:rowOff>176040</xdr:rowOff>
    </xdr:from>
    <xdr:to>
      <xdr:col>3</xdr:col>
      <xdr:colOff>1240920</xdr:colOff>
      <xdr:row>75</xdr:row>
      <xdr:rowOff>7560</xdr:rowOff>
    </xdr:to>
    <xdr:graphicFrame>
      <xdr:nvGraphicFramePr>
        <xdr:cNvPr id="0" name="Chart 1"/>
        <xdr:cNvGraphicFramePr/>
      </xdr:nvGraphicFramePr>
      <xdr:xfrm>
        <a:off x="0" y="123253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59</xdr:row>
      <xdr:rowOff>176040</xdr:rowOff>
    </xdr:from>
    <xdr:to>
      <xdr:col>15</xdr:col>
      <xdr:colOff>132120</xdr:colOff>
      <xdr:row>75</xdr:row>
      <xdr:rowOff>7560</xdr:rowOff>
    </xdr:to>
    <xdr:graphicFrame>
      <xdr:nvGraphicFramePr>
        <xdr:cNvPr id="1" name="Chart 2"/>
        <xdr:cNvGraphicFramePr/>
      </xdr:nvGraphicFramePr>
      <xdr:xfrm>
        <a:off x="8035200" y="123253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76</xdr:row>
      <xdr:rowOff>176040</xdr:rowOff>
    </xdr:from>
    <xdr:to>
      <xdr:col>3</xdr:col>
      <xdr:colOff>1240920</xdr:colOff>
      <xdr:row>92</xdr:row>
      <xdr:rowOff>7560</xdr:rowOff>
    </xdr:to>
    <xdr:graphicFrame>
      <xdr:nvGraphicFramePr>
        <xdr:cNvPr id="2" name="Chart 3"/>
        <xdr:cNvGraphicFramePr/>
      </xdr:nvGraphicFramePr>
      <xdr:xfrm>
        <a:off x="0" y="15563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15000</v>
      </c>
      <c r="C5" s="6" t="n">
        <v>620</v>
      </c>
      <c r="D5" s="6" t="n">
        <v>95</v>
      </c>
      <c r="E5" s="5" t="n">
        <v>57000</v>
      </c>
      <c r="F5" s="7" t="n">
        <f aca="false">IFERROR(C5/(B5/1000),0)</f>
        <v>41.3333333333333</v>
      </c>
      <c r="G5" s="8" t="n">
        <f aca="false">IFERROR(D5/C5,0)</f>
        <v>0.153225806451613</v>
      </c>
      <c r="H5" s="9" t="n">
        <f aca="false">IFERROR(E5/D5,0)</f>
        <v>600</v>
      </c>
    </row>
    <row r="6" customFormat="false" ht="15" hidden="false" customHeight="false" outlineLevel="0" collapsed="false">
      <c r="A6" s="4" t="s">
        <v>11</v>
      </c>
      <c r="B6" s="5" t="n">
        <v>10000</v>
      </c>
      <c r="C6" s="6" t="n">
        <v>540</v>
      </c>
      <c r="D6" s="6" t="n">
        <v>60</v>
      </c>
      <c r="E6" s="5" t="n">
        <v>33000</v>
      </c>
      <c r="F6" s="7" t="n">
        <f aca="false">IFERROR(C6/(B6/1000),0)</f>
        <v>54</v>
      </c>
      <c r="G6" s="8" t="n">
        <f aca="false">IFERROR(D6/C6,0)</f>
        <v>0.111111111111111</v>
      </c>
      <c r="H6" s="9" t="n">
        <f aca="false">IFERROR(E6/D6,0)</f>
        <v>550</v>
      </c>
    </row>
    <row r="7" customFormat="false" ht="15" hidden="false" customHeight="false" outlineLevel="0" collapsed="false">
      <c r="A7" s="4" t="s">
        <v>12</v>
      </c>
      <c r="B7" s="5" t="n">
        <v>4000</v>
      </c>
      <c r="C7" s="6" t="n">
        <v>300</v>
      </c>
      <c r="D7" s="6" t="n">
        <v>70</v>
      </c>
      <c r="E7" s="5" t="n">
        <v>56000</v>
      </c>
      <c r="F7" s="7" t="n">
        <f aca="false">IFERROR(C7/(B7/1000),0)</f>
        <v>75</v>
      </c>
      <c r="G7" s="8" t="n">
        <f aca="false">IFERROR(D7/C7,0)</f>
        <v>0.233333333333333</v>
      </c>
      <c r="H7" s="9" t="n">
        <f aca="false">IFERROR(E7/D7,0)</f>
        <v>800</v>
      </c>
    </row>
    <row r="8" customFormat="false" ht="15" hidden="false" customHeight="false" outlineLevel="0" collapsed="false">
      <c r="A8" s="4" t="s">
        <v>13</v>
      </c>
      <c r="B8" s="5" t="n">
        <v>6000</v>
      </c>
      <c r="C8" s="6" t="n">
        <v>260</v>
      </c>
      <c r="D8" s="6" t="n">
        <v>40</v>
      </c>
      <c r="E8" s="5" t="n">
        <v>26000</v>
      </c>
      <c r="F8" s="7" t="n">
        <f aca="false">IFERROR(C8/(B8/1000),0)</f>
        <v>43.3333333333333</v>
      </c>
      <c r="G8" s="8" t="n">
        <f aca="false">IFERROR(D8/C8,0)</f>
        <v>0.153846153846154</v>
      </c>
      <c r="H8" s="9" t="n">
        <f aca="false">IFERROR(E8/D8,0)</f>
        <v>650</v>
      </c>
    </row>
    <row r="9" customFormat="false" ht="15" hidden="false" customHeight="false" outlineLevel="0" collapsed="false">
      <c r="A9" s="4" t="s">
        <v>14</v>
      </c>
      <c r="B9" s="5" t="n">
        <v>12000</v>
      </c>
      <c r="C9" s="6" t="n">
        <v>180</v>
      </c>
      <c r="D9" s="6" t="n">
        <v>55</v>
      </c>
      <c r="E9" s="5" t="n">
        <v>71500</v>
      </c>
      <c r="F9" s="7" t="n">
        <f aca="false">IFERROR(C9/(B9/1000),0)</f>
        <v>15</v>
      </c>
      <c r="G9" s="8" t="n">
        <f aca="false">IFERROR(D9/C9,0)</f>
        <v>0.305555555555556</v>
      </c>
      <c r="H9" s="9" t="n">
        <f aca="false">IFERROR(E9/D9,0)</f>
        <v>1300</v>
      </c>
    </row>
    <row r="10" customFormat="false" ht="15" hidden="false" customHeight="false" outlineLevel="0" collapsed="false">
      <c r="A10" s="4" t="s">
        <v>15</v>
      </c>
      <c r="B10" s="5" t="n">
        <v>9000</v>
      </c>
      <c r="C10" s="6" t="n">
        <v>150</v>
      </c>
      <c r="D10" s="6" t="n">
        <v>25</v>
      </c>
      <c r="E10" s="5" t="n">
        <v>22500</v>
      </c>
      <c r="F10" s="7" t="n">
        <f aca="false">IFERROR(C10/(B10/1000),0)</f>
        <v>16.6666666666667</v>
      </c>
      <c r="G10" s="8" t="n">
        <f aca="false">IFERROR(D10/C10,0)</f>
        <v>0.166666666666667</v>
      </c>
      <c r="H10" s="9" t="n">
        <f aca="false">IFERROR(E10/D10,0)</f>
        <v>900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24" hidden="false" customHeight="true" outlineLevel="0" collapsed="false">
      <c r="A1" s="10" t="s">
        <v>16</v>
      </c>
      <c r="B1" s="10"/>
      <c r="C1" s="10"/>
      <c r="D1" s="10"/>
      <c r="E1" s="10"/>
      <c r="F1" s="10"/>
      <c r="G1" s="10"/>
      <c r="H1" s="10"/>
    </row>
    <row r="2" customFormat="false" ht="15" hidden="false" customHeight="false" outlineLevel="0" collapsed="false">
      <c r="A2" s="2" t="s">
        <v>17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1" t="s">
        <v>18</v>
      </c>
    </row>
    <row r="5" customFormat="false" ht="15" hidden="false" customHeight="false" outlineLevel="0" collapsed="false">
      <c r="A5" s="12" t="s">
        <v>19</v>
      </c>
      <c r="C5" s="13" t="n">
        <v>0.2</v>
      </c>
    </row>
    <row r="6" customFormat="false" ht="15" hidden="false" customHeight="false" outlineLevel="0" collapsed="false">
      <c r="A6" s="12" t="s">
        <v>20</v>
      </c>
      <c r="C6" s="14" t="n">
        <v>3</v>
      </c>
    </row>
    <row r="7" customFormat="false" ht="15" hidden="false" customHeight="false" outlineLevel="0" collapsed="false">
      <c r="A7" s="12" t="s">
        <v>21</v>
      </c>
      <c r="C7" s="15" t="n">
        <v>3000</v>
      </c>
    </row>
    <row r="9" customFormat="false" ht="15" hidden="false" customHeight="false" outlineLevel="0" collapsed="false">
      <c r="A9" s="16" t="s">
        <v>22</v>
      </c>
    </row>
    <row r="10" customFormat="false" ht="27.75" hidden="false" customHeight="true" outlineLevel="0" collapsed="false">
      <c r="A10" s="3" t="s">
        <v>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</row>
    <row r="11" customFormat="false" ht="15" hidden="false" customHeight="false" outlineLevel="0" collapsed="false">
      <c r="A11" s="17" t="s">
        <v>10</v>
      </c>
      <c r="B11" s="18" t="n">
        <f aca="false">Channel_Efficiency!$B$5</f>
        <v>15000</v>
      </c>
      <c r="C11" s="19" t="n">
        <f aca="false">B11/1000*Channel_Efficiency!$F$5</f>
        <v>620</v>
      </c>
      <c r="D11" s="19" t="n">
        <f aca="false">C11*Channel_Efficiency!$G$5</f>
        <v>95</v>
      </c>
      <c r="E11" s="18" t="n">
        <f aca="false">D11*Channel_Efficiency!$H$5</f>
        <v>57000</v>
      </c>
      <c r="F11" s="18" t="n">
        <f aca="false">IFERROR(B11/D11,0)</f>
        <v>157.894736842105</v>
      </c>
      <c r="G11" s="20" t="n">
        <f aca="false">IFERROR((E11-B11)/B11,0)</f>
        <v>2.8</v>
      </c>
    </row>
    <row r="12" customFormat="false" ht="15" hidden="false" customHeight="false" outlineLevel="0" collapsed="false">
      <c r="A12" s="17" t="s">
        <v>11</v>
      </c>
      <c r="B12" s="18" t="n">
        <f aca="false">Channel_Efficiency!$B$6</f>
        <v>10000</v>
      </c>
      <c r="C12" s="19" t="n">
        <f aca="false">B12/1000*Channel_Efficiency!$F$6</f>
        <v>540</v>
      </c>
      <c r="D12" s="19" t="n">
        <f aca="false">C12*Channel_Efficiency!$G$6</f>
        <v>60</v>
      </c>
      <c r="E12" s="18" t="n">
        <f aca="false">D12*Channel_Efficiency!$H$6</f>
        <v>33000</v>
      </c>
      <c r="F12" s="18" t="n">
        <f aca="false">IFERROR(B12/D12,0)</f>
        <v>166.666666666667</v>
      </c>
      <c r="G12" s="20" t="n">
        <f aca="false">IFERROR((E12-B12)/B12,0)</f>
        <v>2.3</v>
      </c>
    </row>
    <row r="13" customFormat="false" ht="15" hidden="false" customHeight="false" outlineLevel="0" collapsed="false">
      <c r="A13" s="17" t="s">
        <v>12</v>
      </c>
      <c r="B13" s="18" t="n">
        <f aca="false">Channel_Efficiency!$B$7</f>
        <v>4000</v>
      </c>
      <c r="C13" s="19" t="n">
        <f aca="false">B13/1000*Channel_Efficiency!$F$7</f>
        <v>300</v>
      </c>
      <c r="D13" s="19" t="n">
        <f aca="false">C13*Channel_Efficiency!$G$7</f>
        <v>70</v>
      </c>
      <c r="E13" s="18" t="n">
        <f aca="false">D13*Channel_Efficiency!$H$7</f>
        <v>56000</v>
      </c>
      <c r="F13" s="18" t="n">
        <f aca="false">IFERROR(B13/D13,0)</f>
        <v>57.1428571428571</v>
      </c>
      <c r="G13" s="20" t="n">
        <f aca="false">IFERROR((E13-B13)/B13,0)</f>
        <v>13</v>
      </c>
    </row>
    <row r="14" customFormat="false" ht="15" hidden="false" customHeight="false" outlineLevel="0" collapsed="false">
      <c r="A14" s="17" t="s">
        <v>13</v>
      </c>
      <c r="B14" s="18" t="n">
        <f aca="false">Channel_Efficiency!$B$8</f>
        <v>6000</v>
      </c>
      <c r="C14" s="19" t="n">
        <f aca="false">B14/1000*Channel_Efficiency!$F$8</f>
        <v>260</v>
      </c>
      <c r="D14" s="19" t="n">
        <f aca="false">C14*Channel_Efficiency!$G$8</f>
        <v>40</v>
      </c>
      <c r="E14" s="18" t="n">
        <f aca="false">D14*Channel_Efficiency!$H$8</f>
        <v>26000</v>
      </c>
      <c r="F14" s="18" t="n">
        <f aca="false">IFERROR(B14/D14,0)</f>
        <v>150</v>
      </c>
      <c r="G14" s="20" t="n">
        <f aca="false">IFERROR((E14-B14)/B14,0)</f>
        <v>3.33333333333333</v>
      </c>
    </row>
    <row r="15" customFormat="false" ht="15" hidden="false" customHeight="false" outlineLevel="0" collapsed="false">
      <c r="A15" s="17" t="s">
        <v>14</v>
      </c>
      <c r="B15" s="18" t="n">
        <f aca="false">Channel_Efficiency!$B$9</f>
        <v>12000</v>
      </c>
      <c r="C15" s="19" t="n">
        <f aca="false">B15/1000*Channel_Efficiency!$F$9</f>
        <v>180</v>
      </c>
      <c r="D15" s="19" t="n">
        <f aca="false">C15*Channel_Efficiency!$G$9</f>
        <v>55</v>
      </c>
      <c r="E15" s="18" t="n">
        <f aca="false">D15*Channel_Efficiency!$H$9</f>
        <v>71500</v>
      </c>
      <c r="F15" s="18" t="n">
        <f aca="false">IFERROR(B15/D15,0)</f>
        <v>218.181818181818</v>
      </c>
      <c r="G15" s="20" t="n">
        <f aca="false">IFERROR((E15-B15)/B15,0)</f>
        <v>4.95833333333334</v>
      </c>
    </row>
    <row r="16" customFormat="false" ht="15" hidden="false" customHeight="false" outlineLevel="0" collapsed="false">
      <c r="A16" s="17" t="s">
        <v>15</v>
      </c>
      <c r="B16" s="18" t="n">
        <f aca="false">Channel_Efficiency!$B$10</f>
        <v>9000</v>
      </c>
      <c r="C16" s="19" t="n">
        <f aca="false">B16/1000*Channel_Efficiency!$F$10</f>
        <v>150</v>
      </c>
      <c r="D16" s="19" t="n">
        <f aca="false">C16*Channel_Efficiency!$G$10</f>
        <v>25</v>
      </c>
      <c r="E16" s="18" t="n">
        <f aca="false">D16*Channel_Efficiency!$H$10</f>
        <v>22500</v>
      </c>
      <c r="F16" s="18" t="n">
        <f aca="false">IFERROR(B16/D16,0)</f>
        <v>360</v>
      </c>
      <c r="G16" s="20" t="n">
        <f aca="false">IFERROR((E16-B16)/B16,0)</f>
        <v>1.5</v>
      </c>
    </row>
    <row r="17" customFormat="false" ht="15" hidden="false" customHeight="false" outlineLevel="0" collapsed="false">
      <c r="A17" s="21" t="s">
        <v>29</v>
      </c>
      <c r="B17" s="22" t="n">
        <f aca="false">SUM(B11:B16)</f>
        <v>56000</v>
      </c>
      <c r="C17" s="23" t="n">
        <f aca="false">SUM(C11:C16)</f>
        <v>2050</v>
      </c>
      <c r="D17" s="23" t="n">
        <f aca="false">SUM(D11:D16)</f>
        <v>345</v>
      </c>
      <c r="E17" s="22" t="n">
        <f aca="false">SUM(E11:E16)</f>
        <v>266000</v>
      </c>
      <c r="F17" s="22" t="n">
        <f aca="false">IFERROR(B17/D17,0)</f>
        <v>162.31884057971</v>
      </c>
      <c r="G17" s="24" t="n">
        <f aca="false">IFERROR((E17-B17)/B17,0)</f>
        <v>3.75</v>
      </c>
    </row>
    <row r="20" customFormat="false" ht="15" hidden="false" customHeight="false" outlineLevel="0" collapsed="false">
      <c r="A20" s="25" t="s">
        <v>30</v>
      </c>
      <c r="B20" s="26" t="s">
        <v>31</v>
      </c>
    </row>
    <row r="21" customFormat="false" ht="27.75" hidden="false" customHeight="true" outlineLevel="0" collapsed="false">
      <c r="A21" s="3" t="s">
        <v>2</v>
      </c>
      <c r="B21" s="3" t="s">
        <v>23</v>
      </c>
      <c r="C21" s="3" t="s">
        <v>24</v>
      </c>
      <c r="D21" s="3" t="s">
        <v>25</v>
      </c>
      <c r="E21" s="3" t="s">
        <v>26</v>
      </c>
      <c r="F21" s="3" t="s">
        <v>27</v>
      </c>
      <c r="G21" s="3" t="s">
        <v>28</v>
      </c>
    </row>
    <row r="22" customFormat="false" ht="15" hidden="false" customHeight="false" outlineLevel="0" collapsed="false">
      <c r="A22" s="27" t="s">
        <v>10</v>
      </c>
      <c r="B22" s="28" t="n">
        <f aca="false">Channel_Efficiency!$B$5</f>
        <v>15000</v>
      </c>
      <c r="C22" s="29" t="n">
        <f aca="false">B22/1000*Channel_Efficiency!$F$5</f>
        <v>620</v>
      </c>
      <c r="D22" s="29" t="n">
        <f aca="false">C22*Channel_Efficiency!$G$5</f>
        <v>95</v>
      </c>
      <c r="E22" s="28" t="n">
        <f aca="false">D22*Channel_Efficiency!$H$5</f>
        <v>57000</v>
      </c>
      <c r="F22" s="28" t="n">
        <f aca="false">IFERROR(B22/D22,0)</f>
        <v>157.894736842105</v>
      </c>
      <c r="G22" s="30" t="n">
        <f aca="false">IFERROR((E22-B22)/B22,0)</f>
        <v>2.8</v>
      </c>
    </row>
    <row r="23" customFormat="false" ht="15" hidden="false" customHeight="false" outlineLevel="0" collapsed="false">
      <c r="A23" s="27" t="s">
        <v>11</v>
      </c>
      <c r="B23" s="28" t="n">
        <f aca="false">Channel_Efficiency!$B$6*(1+$C$5)</f>
        <v>12000</v>
      </c>
      <c r="C23" s="29" t="n">
        <f aca="false">B23/1000*Channel_Efficiency!$F$6</f>
        <v>648</v>
      </c>
      <c r="D23" s="29" t="n">
        <f aca="false">C23*Channel_Efficiency!$G$6</f>
        <v>72</v>
      </c>
      <c r="E23" s="28" t="n">
        <f aca="false">D23*Channel_Efficiency!$H$6</f>
        <v>39600</v>
      </c>
      <c r="F23" s="28" t="n">
        <f aca="false">IFERROR(B23/D23,0)</f>
        <v>166.666666666667</v>
      </c>
      <c r="G23" s="30" t="n">
        <f aca="false">IFERROR((E23-B23)/B23,0)</f>
        <v>2.3</v>
      </c>
    </row>
    <row r="24" customFormat="false" ht="15" hidden="false" customHeight="false" outlineLevel="0" collapsed="false">
      <c r="A24" s="27" t="s">
        <v>12</v>
      </c>
      <c r="B24" s="28" t="n">
        <f aca="false">Channel_Efficiency!$B$7</f>
        <v>4000</v>
      </c>
      <c r="C24" s="29" t="n">
        <f aca="false">B24/1000*Channel_Efficiency!$F$7</f>
        <v>300</v>
      </c>
      <c r="D24" s="29" t="n">
        <f aca="false">C24*Channel_Efficiency!$G$7</f>
        <v>70</v>
      </c>
      <c r="E24" s="28" t="n">
        <f aca="false">D24*Channel_Efficiency!$H$7</f>
        <v>56000</v>
      </c>
      <c r="F24" s="28" t="n">
        <f aca="false">IFERROR(B24/D24,0)</f>
        <v>57.1428571428571</v>
      </c>
      <c r="G24" s="30" t="n">
        <f aca="false">IFERROR((E24-B24)/B24,0)</f>
        <v>13</v>
      </c>
    </row>
    <row r="25" customFormat="false" ht="15" hidden="false" customHeight="false" outlineLevel="0" collapsed="false">
      <c r="A25" s="27" t="s">
        <v>13</v>
      </c>
      <c r="B25" s="28" t="n">
        <f aca="false">Channel_Efficiency!$B$8</f>
        <v>6000</v>
      </c>
      <c r="C25" s="29" t="n">
        <f aca="false">B25/1000*Channel_Efficiency!$F$8</f>
        <v>260</v>
      </c>
      <c r="D25" s="29" t="n">
        <f aca="false">C25*Channel_Efficiency!$G$8</f>
        <v>40</v>
      </c>
      <c r="E25" s="28" t="n">
        <f aca="false">D25*Channel_Efficiency!$H$8</f>
        <v>26000</v>
      </c>
      <c r="F25" s="28" t="n">
        <f aca="false">IFERROR(B25/D25,0)</f>
        <v>150</v>
      </c>
      <c r="G25" s="30" t="n">
        <f aca="false">IFERROR((E25-B25)/B25,0)</f>
        <v>3.33333333333333</v>
      </c>
    </row>
    <row r="26" customFormat="false" ht="15" hidden="false" customHeight="false" outlineLevel="0" collapsed="false">
      <c r="A26" s="27" t="s">
        <v>14</v>
      </c>
      <c r="B26" s="28" t="n">
        <f aca="false">Channel_Efficiency!$B$9</f>
        <v>12000</v>
      </c>
      <c r="C26" s="29" t="n">
        <f aca="false">B26/1000*Channel_Efficiency!$F$9</f>
        <v>180</v>
      </c>
      <c r="D26" s="29" t="n">
        <f aca="false">C26*Channel_Efficiency!$G$9</f>
        <v>55</v>
      </c>
      <c r="E26" s="28" t="n">
        <f aca="false">D26*Channel_Efficiency!$H$9</f>
        <v>71500</v>
      </c>
      <c r="F26" s="28" t="n">
        <f aca="false">IFERROR(B26/D26,0)</f>
        <v>218.181818181818</v>
      </c>
      <c r="G26" s="30" t="n">
        <f aca="false">IFERROR((E26-B26)/B26,0)</f>
        <v>4.95833333333334</v>
      </c>
    </row>
    <row r="27" customFormat="false" ht="15" hidden="false" customHeight="false" outlineLevel="0" collapsed="false">
      <c r="A27" s="27" t="s">
        <v>15</v>
      </c>
      <c r="B27" s="28" t="n">
        <f aca="false">Channel_Efficiency!$B$10</f>
        <v>9000</v>
      </c>
      <c r="C27" s="29" t="n">
        <f aca="false">B27/1000*Channel_Efficiency!$F$10</f>
        <v>150</v>
      </c>
      <c r="D27" s="29" t="n">
        <f aca="false">C27*Channel_Efficiency!$G$10</f>
        <v>25</v>
      </c>
      <c r="E27" s="28" t="n">
        <f aca="false">D27*Channel_Efficiency!$H$10</f>
        <v>22500</v>
      </c>
      <c r="F27" s="28" t="n">
        <f aca="false">IFERROR(B27/D27,0)</f>
        <v>360</v>
      </c>
      <c r="G27" s="30" t="n">
        <f aca="false">IFERROR((E27-B27)/B27,0)</f>
        <v>1.5</v>
      </c>
    </row>
    <row r="28" customFormat="false" ht="15" hidden="false" customHeight="false" outlineLevel="0" collapsed="false">
      <c r="A28" s="21" t="s">
        <v>29</v>
      </c>
      <c r="B28" s="22" t="n">
        <f aca="false">SUM(B22:B27)</f>
        <v>58000</v>
      </c>
      <c r="C28" s="23" t="n">
        <f aca="false">SUM(C22:C27)</f>
        <v>2158</v>
      </c>
      <c r="D28" s="23" t="n">
        <f aca="false">SUM(D22:D27)</f>
        <v>357</v>
      </c>
      <c r="E28" s="22" t="n">
        <f aca="false">SUM(E22:E27)</f>
        <v>272600</v>
      </c>
      <c r="F28" s="22" t="n">
        <f aca="false">IFERROR(B28/D28,0)</f>
        <v>162.464985994398</v>
      </c>
      <c r="G28" s="24" t="n">
        <f aca="false">IFERROR((E28-B28)/B28,0)</f>
        <v>3.7</v>
      </c>
    </row>
    <row r="31" customFormat="false" ht="15" hidden="false" customHeight="false" outlineLevel="0" collapsed="false">
      <c r="A31" s="31" t="s">
        <v>32</v>
      </c>
      <c r="B31" s="26" t="s">
        <v>33</v>
      </c>
    </row>
    <row r="32" customFormat="false" ht="27.75" hidden="false" customHeight="true" outlineLevel="0" collapsed="false">
      <c r="A32" s="3" t="s">
        <v>2</v>
      </c>
      <c r="B32" s="3" t="s">
        <v>23</v>
      </c>
      <c r="C32" s="3" t="s">
        <v>24</v>
      </c>
      <c r="D32" s="3" t="s">
        <v>25</v>
      </c>
      <c r="E32" s="3" t="s">
        <v>26</v>
      </c>
      <c r="F32" s="3" t="s">
        <v>27</v>
      </c>
      <c r="G32" s="3" t="s">
        <v>28</v>
      </c>
    </row>
    <row r="33" customFormat="false" ht="15" hidden="false" customHeight="false" outlineLevel="0" collapsed="false">
      <c r="A33" s="32" t="s">
        <v>10</v>
      </c>
      <c r="B33" s="33" t="n">
        <f aca="false">Channel_Efficiency!$B$5</f>
        <v>15000</v>
      </c>
      <c r="C33" s="34" t="n">
        <f aca="false">B33/1000*Channel_Efficiency!$F$5</f>
        <v>620</v>
      </c>
      <c r="D33" s="34" t="n">
        <f aca="false">C33*Channel_Efficiency!$G$5</f>
        <v>95</v>
      </c>
      <c r="E33" s="33" t="n">
        <f aca="false">D33*Channel_Efficiency!$H$5</f>
        <v>57000</v>
      </c>
      <c r="F33" s="33" t="n">
        <f aca="false">IFERROR(B33/D33,0)</f>
        <v>157.894736842105</v>
      </c>
      <c r="G33" s="35" t="n">
        <f aca="false">IFERROR((E33-B33)/B33,0)</f>
        <v>2.8</v>
      </c>
    </row>
    <row r="34" customFormat="false" ht="15" hidden="false" customHeight="false" outlineLevel="0" collapsed="false">
      <c r="A34" s="32" t="s">
        <v>11</v>
      </c>
      <c r="B34" s="33" t="n">
        <f aca="false">Channel_Efficiency!$B$6</f>
        <v>10000</v>
      </c>
      <c r="C34" s="34" t="n">
        <f aca="false">B34/1000*Channel_Efficiency!$F$6</f>
        <v>540</v>
      </c>
      <c r="D34" s="34" t="n">
        <f aca="false">C34*Channel_Efficiency!$G$6</f>
        <v>60</v>
      </c>
      <c r="E34" s="33" t="n">
        <f aca="false">D34*Channel_Efficiency!$H$6</f>
        <v>33000</v>
      </c>
      <c r="F34" s="33" t="n">
        <f aca="false">IFERROR(B34/D34,0)</f>
        <v>166.666666666667</v>
      </c>
      <c r="G34" s="35" t="n">
        <f aca="false">IFERROR((E34-B34)/B34,0)</f>
        <v>2.3</v>
      </c>
    </row>
    <row r="35" customFormat="false" ht="15" hidden="false" customHeight="false" outlineLevel="0" collapsed="false">
      <c r="A35" s="32" t="s">
        <v>12</v>
      </c>
      <c r="B35" s="33" t="n">
        <f aca="false">Channel_Efficiency!$B$7</f>
        <v>4000</v>
      </c>
      <c r="C35" s="34" t="n">
        <f aca="false">B35/1000*Channel_Efficiency!$F$7</f>
        <v>300</v>
      </c>
      <c r="D35" s="34" t="n">
        <f aca="false">C35*Channel_Efficiency!$G$7</f>
        <v>70</v>
      </c>
      <c r="E35" s="33" t="n">
        <f aca="false">D35*Channel_Efficiency!$H$7</f>
        <v>56000</v>
      </c>
      <c r="F35" s="33" t="n">
        <f aca="false">IFERROR(B35/D35,0)</f>
        <v>57.1428571428571</v>
      </c>
      <c r="G35" s="35" t="n">
        <f aca="false">IFERROR((E35-B35)/B35,0)</f>
        <v>13</v>
      </c>
    </row>
    <row r="36" customFormat="false" ht="15" hidden="false" customHeight="false" outlineLevel="0" collapsed="false">
      <c r="A36" s="32" t="s">
        <v>13</v>
      </c>
      <c r="B36" s="33" t="n">
        <f aca="false">Channel_Efficiency!$B$8</f>
        <v>6000</v>
      </c>
      <c r="C36" s="34" t="n">
        <f aca="false">B36/1000*Channel_Efficiency!$F$8</f>
        <v>260</v>
      </c>
      <c r="D36" s="34" t="n">
        <f aca="false">C36*Channel_Efficiency!$G$8</f>
        <v>40</v>
      </c>
      <c r="E36" s="33" t="n">
        <f aca="false">D36*Channel_Efficiency!$H$8</f>
        <v>26000</v>
      </c>
      <c r="F36" s="33" t="n">
        <f aca="false">IFERROR(B36/D36,0)</f>
        <v>150</v>
      </c>
      <c r="G36" s="35" t="n">
        <f aca="false">IFERROR((E36-B36)/B36,0)</f>
        <v>3.33333333333333</v>
      </c>
    </row>
    <row r="37" customFormat="false" ht="15" hidden="false" customHeight="false" outlineLevel="0" collapsed="false">
      <c r="A37" s="32" t="s">
        <v>14</v>
      </c>
      <c r="B37" s="33" t="n">
        <f aca="false">Channel_Efficiency!$B$9</f>
        <v>12000</v>
      </c>
      <c r="C37" s="34" t="n">
        <f aca="false">B37/1000*Channel_Efficiency!$F$9</f>
        <v>180</v>
      </c>
      <c r="D37" s="34" t="n">
        <f aca="false">C37*Channel_Efficiency!$G$9</f>
        <v>55</v>
      </c>
      <c r="E37" s="33" t="n">
        <f aca="false">D37*Channel_Efficiency!$H$9</f>
        <v>71500</v>
      </c>
      <c r="F37" s="33" t="n">
        <f aca="false">IFERROR(B37/D37,0)</f>
        <v>218.181818181818</v>
      </c>
      <c r="G37" s="35" t="n">
        <f aca="false">IFERROR((E37-B37)/B37,0)</f>
        <v>4.95833333333334</v>
      </c>
    </row>
    <row r="38" customFormat="false" ht="15" hidden="false" customHeight="false" outlineLevel="0" collapsed="false">
      <c r="A38" s="32" t="s">
        <v>15</v>
      </c>
      <c r="B38" s="33" t="n">
        <f aca="false">Channel_Efficiency!$B$10+($C$6*$C$7)</f>
        <v>18000</v>
      </c>
      <c r="C38" s="34" t="n">
        <f aca="false">B38/1000*Channel_Efficiency!$F$10</f>
        <v>300</v>
      </c>
      <c r="D38" s="34" t="n">
        <f aca="false">C38*Channel_Efficiency!$G$10</f>
        <v>50</v>
      </c>
      <c r="E38" s="33" t="n">
        <f aca="false">D38*Channel_Efficiency!$H$10</f>
        <v>45000</v>
      </c>
      <c r="F38" s="33" t="n">
        <f aca="false">IFERROR(B38/D38,0)</f>
        <v>360</v>
      </c>
      <c r="G38" s="35" t="n">
        <f aca="false">IFERROR((E38-B38)/B38,0)</f>
        <v>1.5</v>
      </c>
    </row>
    <row r="39" customFormat="false" ht="15" hidden="false" customHeight="false" outlineLevel="0" collapsed="false">
      <c r="A39" s="21" t="s">
        <v>29</v>
      </c>
      <c r="B39" s="22" t="n">
        <f aca="false">SUM(B33:B38)</f>
        <v>65000</v>
      </c>
      <c r="C39" s="23" t="n">
        <f aca="false">SUM(C33:C38)</f>
        <v>2200</v>
      </c>
      <c r="D39" s="23" t="n">
        <f aca="false">SUM(D33:D38)</f>
        <v>370</v>
      </c>
      <c r="E39" s="22" t="n">
        <f aca="false">SUM(E33:E38)</f>
        <v>288500</v>
      </c>
      <c r="F39" s="22" t="n">
        <f aca="false">IFERROR(B39/D39,0)</f>
        <v>175.675675675676</v>
      </c>
      <c r="G39" s="24" t="n">
        <f aca="false">IFERROR((E39-B39)/B39,0)</f>
        <v>3.43846153846154</v>
      </c>
    </row>
    <row r="42" customFormat="false" ht="15" hidden="false" customHeight="false" outlineLevel="0" collapsed="false">
      <c r="A42" s="36" t="s">
        <v>34</v>
      </c>
      <c r="B42" s="26" t="s">
        <v>35</v>
      </c>
    </row>
    <row r="43" customFormat="false" ht="27.75" hidden="false" customHeight="true" outlineLevel="0" collapsed="false">
      <c r="A43" s="3" t="s">
        <v>2</v>
      </c>
      <c r="B43" s="3" t="s">
        <v>23</v>
      </c>
      <c r="C43" s="3" t="s">
        <v>24</v>
      </c>
      <c r="D43" s="3" t="s">
        <v>25</v>
      </c>
      <c r="E43" s="3" t="s">
        <v>26</v>
      </c>
      <c r="F43" s="3" t="s">
        <v>27</v>
      </c>
      <c r="G43" s="3" t="s">
        <v>28</v>
      </c>
    </row>
    <row r="44" customFormat="false" ht="15" hidden="false" customHeight="false" outlineLevel="0" collapsed="false">
      <c r="A44" s="37" t="s">
        <v>10</v>
      </c>
      <c r="B44" s="38" t="n">
        <f aca="false">(SUM(Channel_Efficiency!$B$5:$B$10))/6</f>
        <v>9333.33333333333</v>
      </c>
      <c r="C44" s="39" t="n">
        <f aca="false">B44/1000*Channel_Efficiency!$F$5</f>
        <v>385.777777777778</v>
      </c>
      <c r="D44" s="39" t="n">
        <f aca="false">C44*Channel_Efficiency!$G$5</f>
        <v>59.1111111111111</v>
      </c>
      <c r="E44" s="38" t="n">
        <f aca="false">D44*Channel_Efficiency!$H$5</f>
        <v>35466.6666666667</v>
      </c>
      <c r="F44" s="38" t="n">
        <f aca="false">IFERROR(B44/D44,0)</f>
        <v>157.894736842105</v>
      </c>
      <c r="G44" s="40" t="n">
        <f aca="false">IFERROR((E44-B44)/B44,0)</f>
        <v>2.8</v>
      </c>
    </row>
    <row r="45" customFormat="false" ht="15" hidden="false" customHeight="false" outlineLevel="0" collapsed="false">
      <c r="A45" s="37" t="s">
        <v>11</v>
      </c>
      <c r="B45" s="38" t="n">
        <f aca="false">(SUM(Channel_Efficiency!$B$5:$B$10))/6</f>
        <v>9333.33333333333</v>
      </c>
      <c r="C45" s="39" t="n">
        <f aca="false">B45/1000*Channel_Efficiency!$F$6</f>
        <v>504</v>
      </c>
      <c r="D45" s="39" t="n">
        <f aca="false">C45*Channel_Efficiency!$G$6</f>
        <v>56</v>
      </c>
      <c r="E45" s="38" t="n">
        <f aca="false">D45*Channel_Efficiency!$H$6</f>
        <v>30800</v>
      </c>
      <c r="F45" s="38" t="n">
        <f aca="false">IFERROR(B45/D45,0)</f>
        <v>166.666666666667</v>
      </c>
      <c r="G45" s="40" t="n">
        <f aca="false">IFERROR((E45-B45)/B45,0)</f>
        <v>2.3</v>
      </c>
    </row>
    <row r="46" customFormat="false" ht="15" hidden="false" customHeight="false" outlineLevel="0" collapsed="false">
      <c r="A46" s="37" t="s">
        <v>12</v>
      </c>
      <c r="B46" s="38" t="n">
        <f aca="false">(SUM(Channel_Efficiency!$B$5:$B$10))/6</f>
        <v>9333.33333333333</v>
      </c>
      <c r="C46" s="39" t="n">
        <f aca="false">B46/1000*Channel_Efficiency!$F$7</f>
        <v>700</v>
      </c>
      <c r="D46" s="39" t="n">
        <f aca="false">C46*Channel_Efficiency!$G$7</f>
        <v>163.333333333333</v>
      </c>
      <c r="E46" s="38" t="n">
        <f aca="false">D46*Channel_Efficiency!$H$7</f>
        <v>130666.666666667</v>
      </c>
      <c r="F46" s="38" t="n">
        <f aca="false">IFERROR(B46/D46,0)</f>
        <v>57.1428571428571</v>
      </c>
      <c r="G46" s="40" t="n">
        <f aca="false">IFERROR((E46-B46)/B46,0)</f>
        <v>13</v>
      </c>
    </row>
    <row r="47" customFormat="false" ht="15" hidden="false" customHeight="false" outlineLevel="0" collapsed="false">
      <c r="A47" s="37" t="s">
        <v>13</v>
      </c>
      <c r="B47" s="38" t="n">
        <f aca="false">(SUM(Channel_Efficiency!$B$5:$B$10))/6</f>
        <v>9333.33333333333</v>
      </c>
      <c r="C47" s="39" t="n">
        <f aca="false">B47/1000*Channel_Efficiency!$F$8</f>
        <v>404.444444444445</v>
      </c>
      <c r="D47" s="39" t="n">
        <f aca="false">C47*Channel_Efficiency!$G$8</f>
        <v>62.2222222222222</v>
      </c>
      <c r="E47" s="38" t="n">
        <f aca="false">D47*Channel_Efficiency!$H$8</f>
        <v>40444.4444444445</v>
      </c>
      <c r="F47" s="38" t="n">
        <f aca="false">IFERROR(B47/D47,0)</f>
        <v>150</v>
      </c>
      <c r="G47" s="40" t="n">
        <f aca="false">IFERROR((E47-B47)/B47,0)</f>
        <v>3.33333333333333</v>
      </c>
    </row>
    <row r="48" customFormat="false" ht="15" hidden="false" customHeight="false" outlineLevel="0" collapsed="false">
      <c r="A48" s="37" t="s">
        <v>14</v>
      </c>
      <c r="B48" s="38" t="n">
        <f aca="false">(SUM(Channel_Efficiency!$B$5:$B$10))/6</f>
        <v>9333.33333333333</v>
      </c>
      <c r="C48" s="39" t="n">
        <f aca="false">B48/1000*Channel_Efficiency!$F$9</f>
        <v>140</v>
      </c>
      <c r="D48" s="39" t="n">
        <f aca="false">C48*Channel_Efficiency!$G$9</f>
        <v>42.7777777777778</v>
      </c>
      <c r="E48" s="38" t="n">
        <f aca="false">D48*Channel_Efficiency!$H$9</f>
        <v>55611.1111111111</v>
      </c>
      <c r="F48" s="38" t="n">
        <f aca="false">IFERROR(B48/D48,0)</f>
        <v>218.181818181818</v>
      </c>
      <c r="G48" s="40" t="n">
        <f aca="false">IFERROR((E48-B48)/B48,0)</f>
        <v>4.95833333333333</v>
      </c>
    </row>
    <row r="49" customFormat="false" ht="15" hidden="false" customHeight="false" outlineLevel="0" collapsed="false">
      <c r="A49" s="37" t="s">
        <v>15</v>
      </c>
      <c r="B49" s="38" t="n">
        <f aca="false">(SUM(Channel_Efficiency!$B$5:$B$10))/6</f>
        <v>9333.33333333333</v>
      </c>
      <c r="C49" s="39" t="n">
        <f aca="false">B49/1000*Channel_Efficiency!$F$10</f>
        <v>155.555555555556</v>
      </c>
      <c r="D49" s="39" t="n">
        <f aca="false">C49*Channel_Efficiency!$G$10</f>
        <v>25.9259259259259</v>
      </c>
      <c r="E49" s="38" t="n">
        <f aca="false">D49*Channel_Efficiency!$H$10</f>
        <v>23333.3333333333</v>
      </c>
      <c r="F49" s="38" t="n">
        <f aca="false">IFERROR(B49/D49,0)</f>
        <v>360</v>
      </c>
      <c r="G49" s="40" t="n">
        <f aca="false">IFERROR((E49-B49)/B49,0)</f>
        <v>1.5</v>
      </c>
    </row>
    <row r="50" customFormat="false" ht="15" hidden="false" customHeight="false" outlineLevel="0" collapsed="false">
      <c r="A50" s="21" t="s">
        <v>29</v>
      </c>
      <c r="B50" s="22" t="n">
        <f aca="false">SUM(B44:B49)</f>
        <v>56000</v>
      </c>
      <c r="C50" s="23" t="n">
        <f aca="false">SUM(C44:C49)</f>
        <v>2289.77777777778</v>
      </c>
      <c r="D50" s="23" t="n">
        <f aca="false">SUM(D44:D49)</f>
        <v>409.37037037037</v>
      </c>
      <c r="E50" s="22" t="n">
        <f aca="false">SUM(E44:E49)</f>
        <v>316322.222222222</v>
      </c>
      <c r="F50" s="22" t="n">
        <f aca="false">IFERROR(B50/D50,0)</f>
        <v>136.795440151995</v>
      </c>
      <c r="G50" s="24" t="n">
        <f aca="false">IFERROR((E50-B50)/B50,0)</f>
        <v>4.64861111111111</v>
      </c>
    </row>
    <row r="53" customFormat="false" ht="16.15" hidden="false" customHeight="false" outlineLevel="0" collapsed="false">
      <c r="A53" s="41" t="s">
        <v>36</v>
      </c>
    </row>
    <row r="54" customFormat="false" ht="25.5" hidden="false" customHeight="true" outlineLevel="0" collapsed="false">
      <c r="A54" s="3" t="s">
        <v>37</v>
      </c>
      <c r="B54" s="3" t="s">
        <v>38</v>
      </c>
      <c r="C54" s="3" t="s">
        <v>39</v>
      </c>
      <c r="D54" s="3" t="s">
        <v>40</v>
      </c>
      <c r="E54" s="3" t="s">
        <v>41</v>
      </c>
      <c r="F54" s="3" t="s">
        <v>28</v>
      </c>
    </row>
    <row r="55" customFormat="false" ht="15" hidden="false" customHeight="false" outlineLevel="0" collapsed="false">
      <c r="A55" s="4" t="s">
        <v>22</v>
      </c>
      <c r="B55" s="9" t="n">
        <f aca="false">B17</f>
        <v>56000</v>
      </c>
      <c r="C55" s="42" t="n">
        <f aca="false">C17</f>
        <v>2050</v>
      </c>
      <c r="D55" s="42" t="n">
        <f aca="false">D17</f>
        <v>345</v>
      </c>
      <c r="E55" s="9" t="n">
        <f aca="false">F17</f>
        <v>162.31884057971</v>
      </c>
      <c r="F55" s="8" t="n">
        <f aca="false">G17</f>
        <v>3.75</v>
      </c>
    </row>
    <row r="56" customFormat="false" ht="15" hidden="false" customHeight="false" outlineLevel="0" collapsed="false">
      <c r="A56" s="4" t="s">
        <v>42</v>
      </c>
      <c r="B56" s="9" t="n">
        <f aca="false">B28</f>
        <v>58000</v>
      </c>
      <c r="C56" s="42" t="n">
        <f aca="false">C28</f>
        <v>2158</v>
      </c>
      <c r="D56" s="42" t="n">
        <f aca="false">D28</f>
        <v>357</v>
      </c>
      <c r="E56" s="9" t="n">
        <f aca="false">F28</f>
        <v>162.464985994398</v>
      </c>
      <c r="F56" s="8" t="n">
        <f aca="false">G28</f>
        <v>3.7</v>
      </c>
    </row>
    <row r="57" customFormat="false" ht="15" hidden="false" customHeight="false" outlineLevel="0" collapsed="false">
      <c r="A57" s="4" t="s">
        <v>43</v>
      </c>
      <c r="B57" s="9" t="n">
        <f aca="false">B39</f>
        <v>65000</v>
      </c>
      <c r="C57" s="42" t="n">
        <f aca="false">C39</f>
        <v>2200</v>
      </c>
      <c r="D57" s="42" t="n">
        <f aca="false">D39</f>
        <v>370</v>
      </c>
      <c r="E57" s="9" t="n">
        <f aca="false">F39</f>
        <v>175.675675675676</v>
      </c>
      <c r="F57" s="8" t="n">
        <f aca="false">G39</f>
        <v>3.43846153846154</v>
      </c>
    </row>
    <row r="58" customFormat="false" ht="15" hidden="false" customHeight="false" outlineLevel="0" collapsed="false">
      <c r="A58" s="4" t="s">
        <v>44</v>
      </c>
      <c r="B58" s="9" t="n">
        <f aca="false">B50</f>
        <v>56000</v>
      </c>
      <c r="C58" s="42" t="n">
        <f aca="false">C50</f>
        <v>2289.77777777778</v>
      </c>
      <c r="D58" s="42" t="n">
        <f aca="false">D50</f>
        <v>409.37037037037</v>
      </c>
      <c r="E58" s="9" t="n">
        <f aca="false">F50</f>
        <v>136.795440151995</v>
      </c>
      <c r="F58" s="8" t="n">
        <f aca="false">G50</f>
        <v>4.64861111111111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45</v>
      </c>
      <c r="B1" s="1"/>
    </row>
    <row r="2" customFormat="false" ht="39.75" hidden="false" customHeight="true" outlineLevel="0" collapsed="false">
      <c r="A2" s="2" t="s">
        <v>46</v>
      </c>
      <c r="B2" s="2"/>
    </row>
    <row r="4" customFormat="false" ht="45" hidden="false" customHeight="true" outlineLevel="0" collapsed="false">
      <c r="A4" s="43" t="s">
        <v>47</v>
      </c>
      <c r="B4" s="44" t="s">
        <v>48</v>
      </c>
    </row>
    <row r="5" customFormat="false" ht="45" hidden="false" customHeight="true" outlineLevel="0" collapsed="false">
      <c r="A5" s="43" t="s">
        <v>49</v>
      </c>
      <c r="B5" s="44" t="s">
        <v>50</v>
      </c>
    </row>
    <row r="6" customFormat="false" ht="45" hidden="false" customHeight="true" outlineLevel="0" collapsed="false">
      <c r="A6" s="43" t="s">
        <v>51</v>
      </c>
      <c r="B6" s="44" t="s">
        <v>52</v>
      </c>
    </row>
    <row r="7" customFormat="false" ht="45" hidden="false" customHeight="true" outlineLevel="0" collapsed="false">
      <c r="A7" s="43" t="s">
        <v>53</v>
      </c>
      <c r="B7" s="44" t="s">
        <v>54</v>
      </c>
    </row>
    <row r="8" customFormat="false" ht="45" hidden="false" customHeight="true" outlineLevel="0" collapsed="false">
      <c r="A8" s="43" t="s">
        <v>55</v>
      </c>
      <c r="B8" s="44" t="s">
        <v>56</v>
      </c>
    </row>
    <row r="9" customFormat="false" ht="45" hidden="false" customHeight="true" outlineLevel="0" collapsed="false">
      <c r="A9" s="43" t="s">
        <v>57</v>
      </c>
      <c r="B9" s="44" t="s">
        <v>58</v>
      </c>
    </row>
    <row r="10" customFormat="false" ht="45" hidden="false" customHeight="true" outlineLevel="0" collapsed="false">
      <c r="A10" s="43" t="s">
        <v>59</v>
      </c>
      <c r="B10" s="44" t="s">
        <v>60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2026-08-18T11:11:09Z</dcterms:created>
  <dc:creator>openpyxl</dc:creator>
  <dc:description/>
  <dc:language>en-US</dc:language>
  <cp:lastModifiedBy/>
  <dcterms:modified xsi:type="dcterms:W3CDTF">2026-08-18T11:11:16Z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