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8_{062159E0-4350-491A-8114-4F3B53EDD54A}" xr6:coauthVersionLast="47" xr6:coauthVersionMax="47" xr10:uidLastSave="{00000000-0000-0000-0000-000000000000}"/>
  <bookViews>
    <workbookView xWindow="-110" yWindow="-110" windowWidth="19420" windowHeight="11500" xr2:uid="{12716339-393F-4361-B638-2BD076386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I3" i="1"/>
  <c r="I4" i="1"/>
  <c r="I5" i="1"/>
  <c r="I6" i="1"/>
  <c r="I7" i="1"/>
  <c r="I8" i="1"/>
  <c r="D3" i="1"/>
  <c r="D4" i="1"/>
  <c r="D5" i="1"/>
  <c r="D6" i="1"/>
  <c r="D7" i="1"/>
  <c r="D8" i="1"/>
  <c r="D2" i="1"/>
  <c r="G2" i="1"/>
  <c r="I2" i="1"/>
  <c r="L2" i="1"/>
  <c r="L3" i="1"/>
  <c r="L4" i="1"/>
  <c r="L5" i="1"/>
  <c r="L6" i="1"/>
  <c r="L7" i="1"/>
  <c r="B8" i="1"/>
  <c r="C8" i="1"/>
  <c r="F8" i="1"/>
  <c r="L8" i="1" l="1"/>
</calcChain>
</file>

<file path=xl/sharedStrings.xml><?xml version="1.0" encoding="utf-8"?>
<sst xmlns="http://schemas.openxmlformats.org/spreadsheetml/2006/main" count="19" uniqueCount="19">
  <si>
    <t>Channel</t>
  </si>
  <si>
    <t>Leads Generated</t>
  </si>
  <si>
    <t>Leads Converted</t>
  </si>
  <si>
    <t>Conversion Rate %</t>
  </si>
  <si>
    <t>Total Spend</t>
  </si>
  <si>
    <t>New Customers</t>
  </si>
  <si>
    <t>CAC</t>
  </si>
  <si>
    <t>Revenue</t>
  </si>
  <si>
    <t>ROI %</t>
  </si>
  <si>
    <t>Planned Launch Date</t>
  </si>
  <si>
    <t>Time to Market</t>
  </si>
  <si>
    <t>Social</t>
  </si>
  <si>
    <t>Email</t>
  </si>
  <si>
    <t>Influencer</t>
  </si>
  <si>
    <t>Events</t>
  </si>
  <si>
    <t>Paid Ads</t>
  </si>
  <si>
    <t>Direct Sales</t>
  </si>
  <si>
    <t>TOTAL</t>
  </si>
  <si>
    <t xml:space="preserve">Actual Launch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</si>
</sst>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168" fontId="0" fillId="0" borderId="0" xfId="0" applyNumberFormat="1"/>
    <xf numFmtId="44" fontId="0" fillId="0" borderId="0" xfId="1" applyFon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9" fontId="0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720B-44D0-4D57-A182-BC58AB2FD292}">
  <dimension ref="A1:L9"/>
  <sheetViews>
    <sheetView tabSelected="1" workbookViewId="0">
      <selection activeCell="H9" sqref="H9"/>
    </sheetView>
  </sheetViews>
  <sheetFormatPr defaultRowHeight="14.5" x14ac:dyDescent="0.35"/>
  <cols>
    <col min="1" max="1" width="10.08984375" customWidth="1"/>
    <col min="2" max="2" width="16.26953125" customWidth="1"/>
    <col min="3" max="3" width="15.81640625" customWidth="1"/>
    <col min="4" max="4" width="10.453125" customWidth="1"/>
    <col min="5" max="5" width="11.08984375" customWidth="1"/>
    <col min="6" max="6" width="14" bestFit="1" customWidth="1"/>
    <col min="7" max="7" width="10.36328125" customWidth="1"/>
    <col min="8" max="8" width="10.81640625" customWidth="1"/>
    <col min="9" max="9" width="9.81640625" customWidth="1"/>
    <col min="10" max="10" width="18.453125" bestFit="1" customWidth="1"/>
    <col min="11" max="11" width="16.453125" customWidth="1"/>
    <col min="12" max="12" width="13.7265625" customWidth="1"/>
  </cols>
  <sheetData>
    <row r="1" spans="1:12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18</v>
      </c>
      <c r="L1" s="7" t="s">
        <v>10</v>
      </c>
    </row>
    <row r="2" spans="1:12" x14ac:dyDescent="0.35">
      <c r="A2" t="s">
        <v>11</v>
      </c>
      <c r="B2" s="6">
        <v>250</v>
      </c>
      <c r="C2" s="6">
        <v>30</v>
      </c>
      <c r="D2" s="8">
        <f>C2/B2</f>
        <v>0.12</v>
      </c>
      <c r="E2" s="2">
        <v>5000</v>
      </c>
      <c r="F2" s="6">
        <v>25</v>
      </c>
      <c r="G2" s="3">
        <f>E2/F2</f>
        <v>200</v>
      </c>
      <c r="H2" s="3">
        <v>7500</v>
      </c>
      <c r="I2" s="1">
        <f>(H2-E2)/E2</f>
        <v>0.5</v>
      </c>
      <c r="J2" s="4">
        <v>46266</v>
      </c>
      <c r="K2" s="4">
        <v>46270</v>
      </c>
      <c r="L2" s="6">
        <f>K2-J2</f>
        <v>4</v>
      </c>
    </row>
    <row r="3" spans="1:12" x14ac:dyDescent="0.35">
      <c r="A3" t="s">
        <v>12</v>
      </c>
      <c r="B3" s="6">
        <v>180</v>
      </c>
      <c r="C3" s="6">
        <v>36</v>
      </c>
      <c r="D3" s="8">
        <f t="shared" ref="D3:D8" si="0">C3/B3</f>
        <v>0.2</v>
      </c>
      <c r="E3" s="2">
        <v>5000</v>
      </c>
      <c r="F3" s="6">
        <v>30</v>
      </c>
      <c r="G3" s="3">
        <f t="shared" ref="G3:G8" si="1">E3/F3</f>
        <v>166.66666666666666</v>
      </c>
      <c r="H3" s="3">
        <v>7500</v>
      </c>
      <c r="I3" s="1">
        <f t="shared" ref="I3:I8" si="2">(H3-E3)/E3</f>
        <v>0.5</v>
      </c>
      <c r="J3" s="5">
        <v>46266</v>
      </c>
      <c r="K3" s="4">
        <v>46268</v>
      </c>
      <c r="L3" s="6">
        <f>K3-J3</f>
        <v>2</v>
      </c>
    </row>
    <row r="4" spans="1:12" x14ac:dyDescent="0.35">
      <c r="A4" t="s">
        <v>13</v>
      </c>
      <c r="B4" s="6">
        <v>160</v>
      </c>
      <c r="C4" s="6">
        <v>24</v>
      </c>
      <c r="D4" s="8">
        <f t="shared" si="0"/>
        <v>0.15</v>
      </c>
      <c r="E4" s="2">
        <v>5000</v>
      </c>
      <c r="F4" s="6">
        <v>20</v>
      </c>
      <c r="G4" s="3">
        <f t="shared" si="1"/>
        <v>250</v>
      </c>
      <c r="H4" s="3">
        <v>7500</v>
      </c>
      <c r="I4" s="1">
        <f t="shared" si="2"/>
        <v>0.5</v>
      </c>
      <c r="J4" s="4">
        <v>46266</v>
      </c>
      <c r="K4" s="4">
        <v>46272</v>
      </c>
      <c r="L4" s="6">
        <f>K4-J4</f>
        <v>6</v>
      </c>
    </row>
    <row r="5" spans="1:12" x14ac:dyDescent="0.35">
      <c r="A5" t="s">
        <v>14</v>
      </c>
      <c r="B5" s="6">
        <v>210</v>
      </c>
      <c r="C5" s="6">
        <v>42</v>
      </c>
      <c r="D5" s="8">
        <f t="shared" si="0"/>
        <v>0.2</v>
      </c>
      <c r="E5" s="2">
        <v>5000</v>
      </c>
      <c r="F5" s="6">
        <v>35</v>
      </c>
      <c r="G5" s="3">
        <f t="shared" si="1"/>
        <v>142.85714285714286</v>
      </c>
      <c r="H5" s="3">
        <v>7500</v>
      </c>
      <c r="I5" s="1">
        <f t="shared" si="2"/>
        <v>0.5</v>
      </c>
      <c r="J5" s="4">
        <v>46266</v>
      </c>
      <c r="K5" s="4">
        <v>46271</v>
      </c>
      <c r="L5" s="6">
        <f>K5-J5</f>
        <v>5</v>
      </c>
    </row>
    <row r="6" spans="1:12" x14ac:dyDescent="0.35">
      <c r="A6" t="s">
        <v>15</v>
      </c>
      <c r="B6" s="6">
        <v>320</v>
      </c>
      <c r="C6" s="6">
        <v>48</v>
      </c>
      <c r="D6" s="8">
        <f t="shared" si="0"/>
        <v>0.15</v>
      </c>
      <c r="E6" s="2">
        <v>5000</v>
      </c>
      <c r="F6" s="6">
        <v>40</v>
      </c>
      <c r="G6" s="3">
        <f t="shared" si="1"/>
        <v>125</v>
      </c>
      <c r="H6" s="3">
        <v>7500</v>
      </c>
      <c r="I6" s="1">
        <f t="shared" si="2"/>
        <v>0.5</v>
      </c>
      <c r="J6" s="4">
        <v>46266</v>
      </c>
      <c r="K6" s="4">
        <v>46269</v>
      </c>
      <c r="L6" s="6">
        <f>K6-J6</f>
        <v>3</v>
      </c>
    </row>
    <row r="7" spans="1:12" x14ac:dyDescent="0.35">
      <c r="A7" t="s">
        <v>16</v>
      </c>
      <c r="B7" s="6">
        <v>150</v>
      </c>
      <c r="C7" s="6">
        <v>45</v>
      </c>
      <c r="D7" s="8">
        <f t="shared" si="0"/>
        <v>0.3</v>
      </c>
      <c r="E7" s="2">
        <v>5000</v>
      </c>
      <c r="F7" s="6">
        <v>30</v>
      </c>
      <c r="G7" s="3">
        <f t="shared" si="1"/>
        <v>166.66666666666666</v>
      </c>
      <c r="H7" s="3">
        <v>7500</v>
      </c>
      <c r="I7" s="1">
        <f t="shared" si="2"/>
        <v>0.5</v>
      </c>
      <c r="J7" s="4">
        <v>46266</v>
      </c>
      <c r="K7" s="4">
        <v>46273</v>
      </c>
      <c r="L7" s="6">
        <f>K7-J7</f>
        <v>7</v>
      </c>
    </row>
    <row r="8" spans="1:12" x14ac:dyDescent="0.35">
      <c r="A8" t="s">
        <v>17</v>
      </c>
      <c r="B8" s="6">
        <f>SUM(B2:B7)</f>
        <v>1270</v>
      </c>
      <c r="C8" s="6">
        <f>SUM(C2:C7)</f>
        <v>225</v>
      </c>
      <c r="D8" s="8">
        <f t="shared" si="0"/>
        <v>0.17716535433070865</v>
      </c>
      <c r="E8" s="2">
        <v>5000</v>
      </c>
      <c r="F8" s="6">
        <f>SUM(F2:F7)</f>
        <v>180</v>
      </c>
      <c r="G8" s="3">
        <f t="shared" si="1"/>
        <v>27.777777777777779</v>
      </c>
      <c r="H8" s="3">
        <v>7500</v>
      </c>
      <c r="I8" s="1">
        <f t="shared" si="2"/>
        <v>0.5</v>
      </c>
      <c r="L8" s="6">
        <f>SUM(L2:L7)</f>
        <v>27</v>
      </c>
    </row>
    <row r="9" spans="1:12" x14ac:dyDescent="0.35">
      <c r="F9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Solanki</dc:creator>
  <cp:lastModifiedBy>Disha Solanki</cp:lastModifiedBy>
  <dcterms:created xsi:type="dcterms:W3CDTF">2026-08-18T10:24:29Z</dcterms:created>
  <dcterms:modified xsi:type="dcterms:W3CDTF">2026-08-18T10:40:15Z</dcterms:modified>
</cp:coreProperties>
</file>