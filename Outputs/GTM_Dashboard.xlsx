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This column, together with Region and Campaign Phase, is meant to power Excel Slicers. Select any cell in this table, go to Table Design &gt; Insert Slicer, and choose Segment / Region / Campaign Phase to filter the dashboard interactively.</t>
        </r>
      </text>
    </comment>
  </commentList>
</comments>
</file>

<file path=xl/sharedStrings.xml><?xml version="1.0" encoding="utf-8"?>
<sst xmlns="http://schemas.openxmlformats.org/spreadsheetml/2006/main" count="55" uniqueCount="41">
  <si>
    <t xml:space="preserve">GTM Raw Data — Inputs (edit blue cells)</t>
  </si>
  <si>
    <t xml:space="preserve">Replace sample values with real campaign data. Columns K-L are formulas and recalculate automatically.</t>
  </si>
  <si>
    <t xml:space="preserve">Channel</t>
  </si>
  <si>
    <t xml:space="preserve">Segment</t>
  </si>
  <si>
    <t xml:space="preserve">Region</t>
  </si>
  <si>
    <t xml:space="preserve">Campaign Phase</t>
  </si>
  <si>
    <t xml:space="preserve">Budget</t>
  </si>
  <si>
    <t xml:space="preserve">Actual Spend</t>
  </si>
  <si>
    <t xml:space="preserve">Leads</t>
  </si>
  <si>
    <t xml:space="preserve">Opportunities</t>
  </si>
  <si>
    <t xml:space="preserve">Conversions</t>
  </si>
  <si>
    <t xml:space="preserve">Revenue Generated</t>
  </si>
  <si>
    <t xml:space="preserve">CAC</t>
  </si>
  <si>
    <t xml:space="preserve">ROI %</t>
  </si>
  <si>
    <t xml:space="preserve">Paid Search</t>
  </si>
  <si>
    <t xml:space="preserve">SMB</t>
  </si>
  <si>
    <t xml:space="preserve">North America</t>
  </si>
  <si>
    <t xml:space="preserve">Launch</t>
  </si>
  <si>
    <t xml:space="preserve">Social Media</t>
  </si>
  <si>
    <t xml:space="preserve">Mid-Market</t>
  </si>
  <si>
    <t xml:space="preserve">Email</t>
  </si>
  <si>
    <t xml:space="preserve">Enterprise</t>
  </si>
  <si>
    <t xml:space="preserve">EMEA</t>
  </si>
  <si>
    <t xml:space="preserve">Post-Launch</t>
  </si>
  <si>
    <t xml:space="preserve">Content/SEO</t>
  </si>
  <si>
    <t xml:space="preserve">APAC</t>
  </si>
  <si>
    <t xml:space="preserve">Pre-Launch</t>
  </si>
  <si>
    <t xml:space="preserve">Partnerships</t>
  </si>
  <si>
    <t xml:space="preserve">Events</t>
  </si>
  <si>
    <t xml:space="preserve">GTM Execution Dashboard</t>
  </si>
  <si>
    <t xml:space="preserve">Live view — pulls from Raw_Data. Add Slicers on Raw_Data (Segment / Region / Campaign Phase) to filter this view.</t>
  </si>
  <si>
    <t xml:space="preserve">Total Budget</t>
  </si>
  <si>
    <t xml:space="preserve">Leads Generated</t>
  </si>
  <si>
    <t xml:space="preserve">Blended CAC</t>
  </si>
  <si>
    <t xml:space="preserve">Overall ROI %</t>
  </si>
  <si>
    <t xml:space="preserve">Funnel: Leads → Opportunities → Conversions</t>
  </si>
  <si>
    <t xml:space="preserve">Stage</t>
  </si>
  <si>
    <t xml:space="preserve">Count</t>
  </si>
  <si>
    <t xml:space="preserve">Top 5 Channels by ROI</t>
  </si>
  <si>
    <t xml:space="preserve">Rank</t>
  </si>
  <si>
    <t xml:space="preserve">Note: Native Excel Slicers (Segment / Region / Campaign Phase) must be inserted in Excel itself — select a cell in the Raw_Data table, go to Table Design &gt; Insert Slicer, and connect it to the charts above via Report Connections. This file has the underlying data pre-built as a Table to make that a one-click step.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</si>
</sst>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EAF1F8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6B7280"/>
      <rgbColor rgb="FF8064A2"/>
      <rgbColor rgb="FF003366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 Spend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Raw_Data!E4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Raw_Data!$A$5:$A$10</c:f>
              <c:strCache>
                <c:ptCount val="6"/>
                <c:pt idx="0">
                  <c:v>Paid Search</c:v>
                </c:pt>
                <c:pt idx="1">
                  <c:v>Social Media</c:v>
                </c:pt>
                <c:pt idx="2">
                  <c:v>Email</c:v>
                </c:pt>
                <c:pt idx="3">
                  <c:v>Content/SEO</c:v>
                </c:pt>
                <c:pt idx="4">
                  <c:v>Partnerships</c:v>
                </c:pt>
                <c:pt idx="5">
                  <c:v>Events</c:v>
                </c:pt>
              </c:strCache>
            </c:strRef>
          </c:cat>
          <c:val>
            <c:numRef>
              <c:f>Raw_Data!$E$5:$E$10</c:f>
              <c:numCache>
                <c:formatCode>\$#,##0</c:formatCode>
                <c:ptCount val="6"/>
                <c:pt idx="0">
                  <c:v>15000</c:v>
                </c:pt>
                <c:pt idx="1">
                  <c:v>10000</c:v>
                </c:pt>
                <c:pt idx="2">
                  <c:v>4000</c:v>
                </c:pt>
                <c:pt idx="3">
                  <c:v>6000</c:v>
                </c:pt>
                <c:pt idx="4">
                  <c:v>12000</c:v>
                </c:pt>
                <c:pt idx="5">
                  <c:v>9000</c:v>
                </c:pt>
              </c:numCache>
            </c:numRef>
          </c:val>
        </c:ser>
        <c:ser>
          <c:idx val="1"/>
          <c:order val="1"/>
          <c:tx>
            <c:strRef>
              <c:f>Raw_Data!F4</c:f>
              <c:strCache>
                <c:ptCount val="1"/>
                <c:pt idx="0">
                  <c:v>Actual Spend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Raw_Data!$A$5:$A$10</c:f>
              <c:strCache>
                <c:ptCount val="6"/>
                <c:pt idx="0">
                  <c:v>Paid Search</c:v>
                </c:pt>
                <c:pt idx="1">
                  <c:v>Social Media</c:v>
                </c:pt>
                <c:pt idx="2">
                  <c:v>Email</c:v>
                </c:pt>
                <c:pt idx="3">
                  <c:v>Content/SEO</c:v>
                </c:pt>
                <c:pt idx="4">
                  <c:v>Partnerships</c:v>
                </c:pt>
                <c:pt idx="5">
                  <c:v>Events</c:v>
                </c:pt>
              </c:strCache>
            </c:strRef>
          </c:cat>
          <c:val>
            <c:numRef>
              <c:f>Raw_Data!$F$5:$F$10</c:f>
              <c:numCache>
                <c:formatCode>\$#,##0</c:formatCode>
                <c:ptCount val="6"/>
                <c:pt idx="0">
                  <c:v>14200</c:v>
                </c:pt>
                <c:pt idx="1">
                  <c:v>9600</c:v>
                </c:pt>
                <c:pt idx="2">
                  <c:v>3800</c:v>
                </c:pt>
                <c:pt idx="3">
                  <c:v>5400</c:v>
                </c:pt>
                <c:pt idx="4">
                  <c:v>12500</c:v>
                </c:pt>
                <c:pt idx="5">
                  <c:v>9800</c:v>
                </c:pt>
              </c:numCache>
            </c:numRef>
          </c:val>
        </c:ser>
        <c:gapWidth val="150"/>
        <c:overlap val="0"/>
        <c:axId val="65137605"/>
        <c:axId val="73720314"/>
      </c:barChart>
      <c:catAx>
        <c:axId val="651376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20314"/>
        <c:crosses val="autoZero"/>
        <c:auto val="1"/>
        <c:lblAlgn val="ctr"/>
        <c:lblOffset val="100"/>
        <c:noMultiLvlLbl val="0"/>
      </c:catAx>
      <c:valAx>
        <c:axId val="73720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376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Allocation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Raw_Data!E4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Raw_Data!$A$5:$A$10</c:f>
              <c:strCache>
                <c:ptCount val="6"/>
                <c:pt idx="0">
                  <c:v>Paid Search</c:v>
                </c:pt>
                <c:pt idx="1">
                  <c:v>Social Media</c:v>
                </c:pt>
                <c:pt idx="2">
                  <c:v>Email</c:v>
                </c:pt>
                <c:pt idx="3">
                  <c:v>Content/SEO</c:v>
                </c:pt>
                <c:pt idx="4">
                  <c:v>Partnerships</c:v>
                </c:pt>
                <c:pt idx="5">
                  <c:v>Events</c:v>
                </c:pt>
              </c:strCache>
            </c:strRef>
          </c:cat>
          <c:val>
            <c:numRef>
              <c:f>Raw_Data!$E$5:$E$10</c:f>
              <c:numCache>
                <c:formatCode>\$#,##0</c:formatCode>
                <c:ptCount val="6"/>
                <c:pt idx="0">
                  <c:v>15000</c:v>
                </c:pt>
                <c:pt idx="1">
                  <c:v>10000</c:v>
                </c:pt>
                <c:pt idx="2">
                  <c:v>4000</c:v>
                </c:pt>
                <c:pt idx="3">
                  <c:v>6000</c:v>
                </c:pt>
                <c:pt idx="4">
                  <c:v>12000</c:v>
                </c:pt>
                <c:pt idx="5">
                  <c:v>9000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Dashboard!B26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Dashboard!$A$27:$A$29</c:f>
              <c:strCache>
                <c:ptCount val="3"/>
                <c:pt idx="0">
                  <c:v>Leads</c:v>
                </c:pt>
                <c:pt idx="1">
                  <c:v>Opportunities</c:v>
                </c:pt>
                <c:pt idx="2">
                  <c:v>Conversions</c:v>
                </c:pt>
              </c:strCache>
            </c:strRef>
          </c:cat>
          <c:val>
            <c:numRef>
              <c:f>Dashboard!$B$27:$B$29</c:f>
              <c:numCache>
                <c:formatCode>#,##0</c:formatCode>
                <c:ptCount val="3"/>
                <c:pt idx="0">
                  <c:v>2050</c:v>
                </c:pt>
                <c:pt idx="1">
                  <c:v>675</c:v>
                </c:pt>
                <c:pt idx="2">
                  <c:v>345</c:v>
                </c:pt>
              </c:numCache>
            </c:numRef>
          </c:val>
        </c:ser>
        <c:gapWidth val="150"/>
        <c:overlap val="0"/>
        <c:axId val="86375325"/>
        <c:axId val="61187537"/>
      </c:barChart>
      <c:catAx>
        <c:axId val="86375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87537"/>
        <c:crosses val="autoZero"/>
        <c:auto val="1"/>
        <c:lblAlgn val="ctr"/>
        <c:lblOffset val="100"/>
        <c:noMultiLvlLbl val="0"/>
      </c:catAx>
      <c:valAx>
        <c:axId val="611875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753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7</xdr:col>
      <xdr:colOff>50400</xdr:colOff>
      <xdr:row>22</xdr:row>
      <xdr:rowOff>21960</xdr:rowOff>
    </xdr:to>
    <xdr:graphicFrame>
      <xdr:nvGraphicFramePr>
        <xdr:cNvPr id="0" name="Chart 1"/>
        <xdr:cNvGraphicFramePr/>
      </xdr:nvGraphicFramePr>
      <xdr:xfrm>
        <a:off x="0" y="1666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12</xdr:col>
      <xdr:colOff>90360</xdr:colOff>
      <xdr:row>22</xdr:row>
      <xdr:rowOff>21960</xdr:rowOff>
    </xdr:to>
    <xdr:graphicFrame>
      <xdr:nvGraphicFramePr>
        <xdr:cNvPr id="1" name="Chart 2"/>
        <xdr:cNvGraphicFramePr/>
      </xdr:nvGraphicFramePr>
      <xdr:xfrm>
        <a:off x="5709240" y="16668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24</xdr:row>
      <xdr:rowOff>0</xdr:rowOff>
    </xdr:from>
    <xdr:to>
      <xdr:col>8</xdr:col>
      <xdr:colOff>724680</xdr:colOff>
      <xdr:row>37</xdr:row>
      <xdr:rowOff>43200</xdr:rowOff>
    </xdr:to>
    <xdr:graphicFrame>
      <xdr:nvGraphicFramePr>
        <xdr:cNvPr id="2" name="Chart 3"/>
        <xdr:cNvGraphicFramePr/>
      </xdr:nvGraphicFramePr>
      <xdr:xfrm>
        <a:off x="2960280" y="49053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GTM_RawData" displayName="GTM_RawData" ref="A4:L10" headerRowCount="1" totalsRowCount="0" totalsRowShown="0">
  <autoFilter ref="A4:L10"/>
  <tableColumns count="12">
    <tableColumn id="1" name="Channel"/>
    <tableColumn id="2" name="Segment"/>
    <tableColumn id="3" name="Region"/>
    <tableColumn id="4" name="Campaign Phase"/>
    <tableColumn id="5" name="Budget"/>
    <tableColumn id="6" name="Actual Spend"/>
    <tableColumn id="7" name="Leads"/>
    <tableColumn id="8" name="Opportunities"/>
    <tableColumn id="9" name="Conversions"/>
    <tableColumn id="10" name="Revenue Generated"/>
    <tableColumn id="11" name="CAC"/>
    <tableColumn id="12" name="ROI %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5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9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5" t="n">
        <v>15000</v>
      </c>
      <c r="F5" s="5" t="n">
        <v>14200</v>
      </c>
      <c r="G5" s="6" t="n">
        <v>620</v>
      </c>
      <c r="H5" s="6" t="n">
        <v>180</v>
      </c>
      <c r="I5" s="6" t="n">
        <v>95</v>
      </c>
      <c r="J5" s="6" t="n">
        <v>57000</v>
      </c>
      <c r="K5" s="7" t="n">
        <f aca="false">IFERROR(F5/I5,0)</f>
        <v>149.473684210526</v>
      </c>
      <c r="L5" s="8" t="n">
        <f aca="false">IFERROR((J5-F5)/F5,0)</f>
        <v>3.01408450704225</v>
      </c>
    </row>
    <row r="6" customFormat="false" ht="15" hidden="false" customHeight="false" outlineLevel="0" collapsed="false">
      <c r="A6" s="4" t="s">
        <v>18</v>
      </c>
      <c r="B6" s="4" t="s">
        <v>19</v>
      </c>
      <c r="C6" s="4" t="s">
        <v>16</v>
      </c>
      <c r="D6" s="4" t="s">
        <v>17</v>
      </c>
      <c r="E6" s="5" t="n">
        <v>10000</v>
      </c>
      <c r="F6" s="5" t="n">
        <v>9600</v>
      </c>
      <c r="G6" s="6" t="n">
        <v>540</v>
      </c>
      <c r="H6" s="6" t="n">
        <v>140</v>
      </c>
      <c r="I6" s="6" t="n">
        <v>60</v>
      </c>
      <c r="J6" s="6" t="n">
        <v>33000</v>
      </c>
      <c r="K6" s="7" t="n">
        <f aca="false">IFERROR(F6/I6,0)</f>
        <v>160</v>
      </c>
      <c r="L6" s="8" t="n">
        <f aca="false">IFERROR((J6-F6)/F6,0)</f>
        <v>2.4375</v>
      </c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5" t="n">
        <v>4000</v>
      </c>
      <c r="F7" s="5" t="n">
        <v>3800</v>
      </c>
      <c r="G7" s="6" t="n">
        <v>300</v>
      </c>
      <c r="H7" s="6" t="n">
        <v>110</v>
      </c>
      <c r="I7" s="6" t="n">
        <v>70</v>
      </c>
      <c r="J7" s="6" t="n">
        <v>56000</v>
      </c>
      <c r="K7" s="7" t="n">
        <f aca="false">IFERROR(F7/I7,0)</f>
        <v>54.2857142857143</v>
      </c>
      <c r="L7" s="8" t="n">
        <f aca="false">IFERROR((J7-F7)/F7,0)</f>
        <v>13.7368421052632</v>
      </c>
    </row>
    <row r="8" customFormat="false" ht="15" hidden="false" customHeight="false" outlineLevel="0" collapsed="false">
      <c r="A8" s="4" t="s">
        <v>24</v>
      </c>
      <c r="B8" s="4" t="s">
        <v>15</v>
      </c>
      <c r="C8" s="4" t="s">
        <v>25</v>
      </c>
      <c r="D8" s="4" t="s">
        <v>26</v>
      </c>
      <c r="E8" s="5" t="n">
        <v>6000</v>
      </c>
      <c r="F8" s="5" t="n">
        <v>5400</v>
      </c>
      <c r="G8" s="6" t="n">
        <v>260</v>
      </c>
      <c r="H8" s="6" t="n">
        <v>90</v>
      </c>
      <c r="I8" s="6" t="n">
        <v>40</v>
      </c>
      <c r="J8" s="6" t="n">
        <v>26000</v>
      </c>
      <c r="K8" s="7" t="n">
        <f aca="false">IFERROR(F8/I8,0)</f>
        <v>135</v>
      </c>
      <c r="L8" s="8" t="n">
        <f aca="false">IFERROR((J8-F8)/F8,0)</f>
        <v>3.81481481481482</v>
      </c>
    </row>
    <row r="9" customFormat="false" ht="15" hidden="false" customHeight="false" outlineLevel="0" collapsed="false">
      <c r="A9" s="4" t="s">
        <v>27</v>
      </c>
      <c r="B9" s="4" t="s">
        <v>21</v>
      </c>
      <c r="C9" s="4" t="s">
        <v>22</v>
      </c>
      <c r="D9" s="4" t="s">
        <v>17</v>
      </c>
      <c r="E9" s="5" t="n">
        <v>12000</v>
      </c>
      <c r="F9" s="5" t="n">
        <v>12500</v>
      </c>
      <c r="G9" s="6" t="n">
        <v>180</v>
      </c>
      <c r="H9" s="6" t="n">
        <v>95</v>
      </c>
      <c r="I9" s="6" t="n">
        <v>55</v>
      </c>
      <c r="J9" s="6" t="n">
        <v>71500</v>
      </c>
      <c r="K9" s="7" t="n">
        <f aca="false">IFERROR(F9/I9,0)</f>
        <v>227.272727272727</v>
      </c>
      <c r="L9" s="8" t="n">
        <f aca="false">IFERROR((J9-F9)/F9,0)</f>
        <v>4.72</v>
      </c>
    </row>
    <row r="10" customFormat="false" ht="15" hidden="false" customHeight="false" outlineLevel="0" collapsed="false">
      <c r="A10" s="4" t="s">
        <v>28</v>
      </c>
      <c r="B10" s="4" t="s">
        <v>19</v>
      </c>
      <c r="C10" s="4" t="s">
        <v>16</v>
      </c>
      <c r="D10" s="4" t="s">
        <v>23</v>
      </c>
      <c r="E10" s="5" t="n">
        <v>9000</v>
      </c>
      <c r="F10" s="5" t="n">
        <v>9800</v>
      </c>
      <c r="G10" s="6" t="n">
        <v>150</v>
      </c>
      <c r="H10" s="6" t="n">
        <v>60</v>
      </c>
      <c r="I10" s="6" t="n">
        <v>25</v>
      </c>
      <c r="J10" s="6" t="n">
        <v>22500</v>
      </c>
      <c r="K10" s="7" t="n">
        <f aca="false">IFERROR(F10/I10,0)</f>
        <v>392</v>
      </c>
      <c r="L10" s="8" t="n">
        <f aca="false">IFERROR((J10-F10)/F10,0)</f>
        <v>1.29591836734694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3"/>
    <col collapsed="false" customWidth="true" hidden="false" outlineLevel="0" max="12" min="8" style="0" width="12"/>
  </cols>
  <sheetData>
    <row r="1" customFormat="false" ht="27.75" hidden="false" customHeight="true" outlineLevel="0" collapsed="false">
      <c r="A1" s="9" t="s">
        <v>29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15" hidden="false" customHeight="false" outlineLevel="0" collapsed="false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10" t="s">
        <v>31</v>
      </c>
      <c r="B4" s="10"/>
      <c r="C4" s="10"/>
      <c r="D4" s="10" t="s">
        <v>32</v>
      </c>
      <c r="E4" s="10"/>
      <c r="F4" s="10"/>
      <c r="G4" s="10" t="s">
        <v>33</v>
      </c>
      <c r="H4" s="10"/>
      <c r="I4" s="10"/>
      <c r="J4" s="10" t="s">
        <v>34</v>
      </c>
      <c r="K4" s="10"/>
      <c r="L4" s="10"/>
    </row>
    <row r="5" customFormat="false" ht="19.5" hidden="false" customHeight="true" outlineLevel="0" collapsed="false">
      <c r="A5" s="11" t="n">
        <f aca="false">SUM(Raw_Data!E5:E10)</f>
        <v>56000</v>
      </c>
      <c r="B5" s="11"/>
      <c r="C5" s="11"/>
      <c r="D5" s="12" t="n">
        <f aca="false">SUM(Raw_Data!G5:G10)</f>
        <v>2050</v>
      </c>
      <c r="E5" s="12"/>
      <c r="F5" s="12"/>
      <c r="G5" s="11" t="n">
        <f aca="false">IFERROR(SUM(Raw_Data!F5:F10)/SUM(Raw_Data!I5:I10),0)</f>
        <v>160.289855072464</v>
      </c>
      <c r="H5" s="11"/>
      <c r="I5" s="11"/>
      <c r="J5" s="13" t="n">
        <f aca="false">IFERROR((SUM(Raw_Data!J5:J10)-SUM(Raw_Data!F5:F10))/SUM(Raw_Data!F5:F10),0)</f>
        <v>3.81012658227848</v>
      </c>
      <c r="K5" s="13"/>
      <c r="L5" s="13"/>
    </row>
    <row r="6" customFormat="false" ht="19.5" hidden="false" customHeight="true" outlineLevel="0" collapsed="false">
      <c r="A6" s="11"/>
      <c r="B6" s="11"/>
      <c r="C6" s="11"/>
      <c r="D6" s="12"/>
      <c r="E6" s="12"/>
      <c r="F6" s="12"/>
      <c r="G6" s="11"/>
      <c r="H6" s="11"/>
      <c r="I6" s="11"/>
      <c r="J6" s="13"/>
      <c r="K6" s="13"/>
      <c r="L6" s="13"/>
    </row>
    <row r="25" customFormat="false" ht="15" hidden="false" customHeight="false" outlineLevel="0" collapsed="false">
      <c r="A25" s="14" t="s">
        <v>35</v>
      </c>
    </row>
    <row r="26" customFormat="false" ht="15" hidden="false" customHeight="false" outlineLevel="0" collapsed="false">
      <c r="A26" s="15" t="s">
        <v>36</v>
      </c>
      <c r="B26" s="15" t="s">
        <v>37</v>
      </c>
    </row>
    <row r="27" customFormat="false" ht="15" hidden="false" customHeight="false" outlineLevel="0" collapsed="false">
      <c r="A27" s="16" t="s">
        <v>8</v>
      </c>
      <c r="B27" s="17" t="n">
        <f aca="false">SUM(Raw_Data!G5:G10)</f>
        <v>2050</v>
      </c>
    </row>
    <row r="28" customFormat="false" ht="15" hidden="false" customHeight="false" outlineLevel="0" collapsed="false">
      <c r="A28" s="16" t="s">
        <v>9</v>
      </c>
      <c r="B28" s="17" t="n">
        <f aca="false">SUM(Raw_Data!H5:H10)</f>
        <v>675</v>
      </c>
    </row>
    <row r="29" customFormat="false" ht="15" hidden="false" customHeight="false" outlineLevel="0" collapsed="false">
      <c r="A29" s="16" t="s">
        <v>10</v>
      </c>
      <c r="B29" s="17" t="n">
        <f aca="false">SUM(Raw_Data!I5:I10)</f>
        <v>345</v>
      </c>
    </row>
    <row r="32" customFormat="false" ht="15" hidden="false" customHeight="false" outlineLevel="0" collapsed="false">
      <c r="A32" s="14" t="s">
        <v>38</v>
      </c>
    </row>
    <row r="33" customFormat="false" ht="15" hidden="false" customHeight="false" outlineLevel="0" collapsed="false">
      <c r="A33" s="15" t="s">
        <v>39</v>
      </c>
      <c r="B33" s="15" t="s">
        <v>2</v>
      </c>
      <c r="C33" s="15" t="s">
        <v>13</v>
      </c>
    </row>
    <row r="34" customFormat="false" ht="15" hidden="false" customHeight="false" outlineLevel="0" collapsed="false">
      <c r="A34" s="18" t="n">
        <v>1</v>
      </c>
      <c r="B34" s="16" t="str">
        <f aca="false">INDEX(Raw_Data!$A$5:$A$10,MATCH(LARGE(Raw_Data!$L$5:$L$10,1),Raw_Data!$L$5:$L$10,0))</f>
        <v>Email</v>
      </c>
      <c r="C34" s="19" t="n">
        <f aca="false">LARGE(Raw_Data!$L$5:$L$10,1)</f>
        <v>13.7368421052632</v>
      </c>
    </row>
    <row r="35" customFormat="false" ht="15" hidden="false" customHeight="false" outlineLevel="0" collapsed="false">
      <c r="A35" s="18" t="n">
        <v>2</v>
      </c>
      <c r="B35" s="16" t="str">
        <f aca="false">INDEX(Raw_Data!$A$5:$A$10,MATCH(LARGE(Raw_Data!$L$5:$L$10,2),Raw_Data!$L$5:$L$10,0))</f>
        <v>Partnerships</v>
      </c>
      <c r="C35" s="19" t="n">
        <f aca="false">LARGE(Raw_Data!$L$5:$L$10,2)</f>
        <v>4.72</v>
      </c>
    </row>
    <row r="36" customFormat="false" ht="15" hidden="false" customHeight="false" outlineLevel="0" collapsed="false">
      <c r="A36" s="18" t="n">
        <v>3</v>
      </c>
      <c r="B36" s="16" t="str">
        <f aca="false">INDEX(Raw_Data!$A$5:$A$10,MATCH(LARGE(Raw_Data!$L$5:$L$10,3),Raw_Data!$L$5:$L$10,0))</f>
        <v>Content/SEO</v>
      </c>
      <c r="C36" s="19" t="n">
        <f aca="false">LARGE(Raw_Data!$L$5:$L$10,3)</f>
        <v>3.81481481481482</v>
      </c>
    </row>
    <row r="37" customFormat="false" ht="15" hidden="false" customHeight="false" outlineLevel="0" collapsed="false">
      <c r="A37" s="18" t="n">
        <v>4</v>
      </c>
      <c r="B37" s="16" t="str">
        <f aca="false">INDEX(Raw_Data!$A$5:$A$10,MATCH(LARGE(Raw_Data!$L$5:$L$10,4),Raw_Data!$L$5:$L$10,0))</f>
        <v>Paid Search</v>
      </c>
      <c r="C37" s="19" t="n">
        <f aca="false">LARGE(Raw_Data!$L$5:$L$10,4)</f>
        <v>3.01408450704225</v>
      </c>
    </row>
    <row r="38" customFormat="false" ht="15" hidden="false" customHeight="false" outlineLevel="0" collapsed="false">
      <c r="A38" s="18" t="n">
        <v>5</v>
      </c>
      <c r="B38" s="16" t="str">
        <f aca="false">INDEX(Raw_Data!$A$5:$A$10,MATCH(LARGE(Raw_Data!$L$5:$L$10,5),Raw_Data!$L$5:$L$10,0))</f>
        <v>Social Media</v>
      </c>
      <c r="C38" s="19" t="n">
        <f aca="false">LARGE(Raw_Data!$L$5:$L$10,5)</f>
        <v>2.4375</v>
      </c>
    </row>
    <row r="41" customFormat="false" ht="30" hidden="false" customHeight="true" outlineLevel="0" collapsed="false">
      <c r="A41" s="20" t="s">
        <v>40</v>
      </c>
      <c r="B41" s="20"/>
      <c r="C41" s="20"/>
      <c r="D41" s="20"/>
      <c r="E41" s="20"/>
      <c r="F41" s="20"/>
    </row>
  </sheetData>
  <mergeCells count="1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2026-08-18T11:08:27Z</dcterms:created>
  <dc:creator>openpyxl</dc:creator>
  <dc:description/>
  <dc:language>en-US</dc:language>
  <cp:lastModifiedBy/>
  <dcterms:modified xsi:type="dcterms:W3CDTF">2026-08-18T11:08:33Z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