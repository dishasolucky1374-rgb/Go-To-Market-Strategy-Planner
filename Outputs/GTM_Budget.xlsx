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8_{030DB5FD-C1E2-481D-AA31-82753B38462D}" xr6:coauthVersionLast="47" xr6:coauthVersionMax="47" xr10:uidLastSave="{00000000-0000-0000-0000-000000000000}"/>
  <bookViews>
    <workbookView xWindow="-110" yWindow="-110" windowWidth="19420" windowHeight="11500" xr2:uid="{44F124ED-42C2-4CB0-A723-B0062B304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3" i="1"/>
  <c r="F4" i="1"/>
  <c r="F5" i="1"/>
  <c r="F6" i="1"/>
  <c r="F7" i="1"/>
  <c r="F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<sst xmlns="http://schemas.openxmlformats.org/spreadsheetml/2006/main" count="13" uniqueCount="13">
  <si>
    <t>Channel</t>
  </si>
  <si>
    <t>Estimated_Reach</t>
  </si>
  <si>
    <t>Cost</t>
  </si>
  <si>
    <t>Expected_Leads</t>
  </si>
  <si>
    <t>Cost per Lead (CPL)</t>
  </si>
  <si>
    <t>% of Total Budget</t>
  </si>
  <si>
    <t>Social</t>
  </si>
  <si>
    <t>Email</t>
  </si>
  <si>
    <t>Influencer</t>
  </si>
  <si>
    <t>Events</t>
  </si>
  <si>
    <t>Paid Ads</t>
  </si>
  <si>
    <t>Direct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</si>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</sst>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3" fillId="0" borderId="0" xfId="0" applyFont="1"/>
    <xf numFmtId="9" fontId="3" fillId="0" borderId="0" xfId="1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3" fontId="0" fillId="4" borderId="0" xfId="0" applyNumberFormat="1" applyFill="1"/>
    <xf numFmtId="0" fontId="0" fillId="4" borderId="0" xfId="0" applyFill="1"/>
    <xf numFmtId="9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2C39-31D1-48B6-ABE6-BD1FDD60E454}">
  <dimension ref="A1:F8"/>
  <sheetViews>
    <sheetView tabSelected="1" workbookViewId="0">
      <selection activeCell="F8" sqref="F8"/>
    </sheetView>
  </sheetViews>
  <sheetFormatPr defaultRowHeight="14.5" x14ac:dyDescent="0.35"/>
  <sheetData>
    <row r="1" spans="1:6" ht="7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.5" x14ac:dyDescent="0.45">
      <c r="A2" s="1" t="s">
        <v>6</v>
      </c>
      <c r="B2" s="2">
        <v>25000</v>
      </c>
      <c r="C2" s="2">
        <v>5000</v>
      </c>
      <c r="D2" s="1">
        <v>250</v>
      </c>
      <c r="E2" s="3">
        <f>C2/D2</f>
        <v>20</v>
      </c>
      <c r="F2" s="4">
        <f>C2/SUM($C$2:$C$7)</f>
        <v>0.15151515151515152</v>
      </c>
    </row>
    <row r="3" spans="1:6" ht="18.5" x14ac:dyDescent="0.45">
      <c r="A3" s="1" t="s">
        <v>7</v>
      </c>
      <c r="B3" s="2">
        <v>12000</v>
      </c>
      <c r="C3" s="2">
        <v>3000</v>
      </c>
      <c r="D3" s="1">
        <v>180</v>
      </c>
      <c r="E3" s="3">
        <f t="shared" ref="E3:E7" si="0">C3/D3</f>
        <v>16.666666666666668</v>
      </c>
      <c r="F3" s="4">
        <f t="shared" ref="F3:F7" si="1">C3/SUM($C$2:$C$7)</f>
        <v>9.0909090909090912E-2</v>
      </c>
    </row>
    <row r="4" spans="1:6" ht="37" x14ac:dyDescent="0.45">
      <c r="A4" s="1" t="s">
        <v>8</v>
      </c>
      <c r="B4" s="2">
        <v>18000</v>
      </c>
      <c r="C4" s="2">
        <v>4000</v>
      </c>
      <c r="D4" s="1">
        <v>160</v>
      </c>
      <c r="E4" s="3">
        <f t="shared" si="0"/>
        <v>25</v>
      </c>
      <c r="F4" s="4">
        <f t="shared" si="1"/>
        <v>0.12121212121212122</v>
      </c>
    </row>
    <row r="5" spans="1:6" ht="18.5" x14ac:dyDescent="0.45">
      <c r="A5" s="1" t="s">
        <v>9</v>
      </c>
      <c r="B5" s="2">
        <v>10000</v>
      </c>
      <c r="C5" s="2">
        <v>7000</v>
      </c>
      <c r="D5" s="1">
        <v>210</v>
      </c>
      <c r="E5" s="3">
        <f t="shared" si="0"/>
        <v>33.333333333333336</v>
      </c>
      <c r="F5" s="4">
        <f t="shared" si="1"/>
        <v>0.21212121212121213</v>
      </c>
    </row>
    <row r="6" spans="1:6" ht="37" x14ac:dyDescent="0.45">
      <c r="A6" s="1" t="s">
        <v>10</v>
      </c>
      <c r="B6" s="2">
        <v>30000</v>
      </c>
      <c r="C6" s="2">
        <v>8000</v>
      </c>
      <c r="D6" s="1">
        <v>320</v>
      </c>
      <c r="E6" s="3">
        <f t="shared" si="0"/>
        <v>25</v>
      </c>
      <c r="F6" s="4">
        <f t="shared" si="1"/>
        <v>0.24242424242424243</v>
      </c>
    </row>
    <row r="7" spans="1:6" ht="37" x14ac:dyDescent="0.45">
      <c r="A7" s="1" t="s">
        <v>11</v>
      </c>
      <c r="B7" s="2">
        <v>5000</v>
      </c>
      <c r="C7" s="2">
        <v>6000</v>
      </c>
      <c r="D7" s="1">
        <v>150</v>
      </c>
      <c r="E7" s="3">
        <f t="shared" si="0"/>
        <v>40</v>
      </c>
      <c r="F7" s="4">
        <f t="shared" si="1"/>
        <v>0.18181818181818182</v>
      </c>
    </row>
    <row r="8" spans="1:6" ht="18.5" x14ac:dyDescent="0.35">
      <c r="A8" s="6" t="s">
        <v>12</v>
      </c>
      <c r="B8" s="7">
        <f>SUM(B2:B7)</f>
        <v>100000</v>
      </c>
      <c r="C8" s="7">
        <f>SUM(C2:C7)</f>
        <v>33000</v>
      </c>
      <c r="D8" s="8">
        <f>SUM(D2:D7)</f>
        <v>1270</v>
      </c>
      <c r="E8" s="8">
        <f>C8/D8</f>
        <v>25.984251968503937</v>
      </c>
      <c r="F8" s="9">
        <f>SUM(F2:F7)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Solanki</dc:creator>
  <cp:lastModifiedBy>Disha Solanki</cp:lastModifiedBy>
  <dcterms:created xsi:type="dcterms:W3CDTF">2026-08-18T10:05:54Z</dcterms:created>
  <dcterms:modified xsi:type="dcterms:W3CDTF">2026-08-18T10:18:23Z</dcterms:modified>
</cp:coreProperties>
</file>